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13.xml" ContentType="application/vnd.openxmlformats-officedocument.spreadsheetml.table+xml"/>
  <Override PartName="/xl/queryTables/queryTable2.xml" ContentType="application/vnd.openxmlformats-officedocument.spreadsheetml.queryTable+xml"/>
  <Override PartName="/xl/tables/table14.xml" ContentType="application/vnd.openxmlformats-officedocument.spreadsheetml.table+xml"/>
  <Override PartName="/xl/queryTables/queryTable3.xml" ContentType="application/vnd.openxmlformats-officedocument.spreadsheetml.queryTable+xml"/>
  <Override PartName="/xl/tables/table15.xml" ContentType="application/vnd.openxmlformats-officedocument.spreadsheetml.table+xml"/>
  <Override PartName="/xl/queryTables/queryTable4.xml" ContentType="application/vnd.openxmlformats-officedocument.spreadsheetml.queryTable+xml"/>
  <Override PartName="/xl/tables/table16.xml" ContentType="application/vnd.openxmlformats-officedocument.spreadsheetml.table+xml"/>
  <Override PartName="/xl/queryTables/queryTable5.xml" ContentType="application/vnd.openxmlformats-officedocument.spreadsheetml.queryTable+xml"/>
  <Override PartName="/xl/tables/table17.xml" ContentType="application/vnd.openxmlformats-officedocument.spreadsheetml.table+xml"/>
  <Override PartName="/xl/queryTables/queryTable6.xml" ContentType="application/vnd.openxmlformats-officedocument.spreadsheetml.queryTable+xml"/>
  <Override PartName="/xl/tables/table18.xml" ContentType="application/vnd.openxmlformats-officedocument.spreadsheetml.table+xml"/>
  <Override PartName="/xl/queryTables/queryTable7.xml" ContentType="application/vnd.openxmlformats-officedocument.spreadsheetml.queryTable+xml"/>
  <Override PartName="/xl/tables/table19.xml" ContentType="application/vnd.openxmlformats-officedocument.spreadsheetml.table+xml"/>
  <Override PartName="/xl/queryTables/queryTable8.xml" ContentType="application/vnd.openxmlformats-officedocument.spreadsheetml.queryTable+xml"/>
  <Override PartName="/xl/tables/table20.xml" ContentType="application/vnd.openxmlformats-officedocument.spreadsheetml.table+xml"/>
  <Override PartName="/xl/queryTables/queryTable9.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b2e44c1ae05ba5c5/Desktop/Courses/Valuation/"/>
    </mc:Choice>
  </mc:AlternateContent>
  <xr:revisionPtr revIDLastSave="361" documentId="8_{E8C13BB8-E978-48B9-B05A-1E4646B0F422}" xr6:coauthVersionLast="47" xr6:coauthVersionMax="47" xr10:uidLastSave="{98001339-7B70-464D-933F-0830897892C4}"/>
  <bookViews>
    <workbookView xWindow="-108" yWindow="-108" windowWidth="23256" windowHeight="12456" firstSheet="5" activeTab="9" xr2:uid="{00000000-000D-0000-FFFF-FFFF00000000}"/>
  </bookViews>
  <sheets>
    <sheet name="Introduction" sheetId="68" r:id="rId1"/>
    <sheet name="Assumptions &amp; Methodology" sheetId="71" r:id="rId2"/>
    <sheet name="Contents" sheetId="69" r:id="rId3"/>
    <sheet name="Financials" sheetId="1" r:id="rId4"/>
    <sheet name="Market Data" sheetId="2" r:id="rId5"/>
    <sheet name="Valuation" sheetId="3" r:id="rId6"/>
    <sheet name="Inputs" sheetId="65" r:id="rId7"/>
    <sheet name="Residual Income Valuation" sheetId="66" r:id="rId8"/>
    <sheet name="Valuation Summary" sheetId="67" r:id="rId9"/>
    <sheet name="Sensitivity Analysis" sheetId="70" r:id="rId10"/>
    <sheet name="Financial Summary (1)" sheetId="63" r:id="rId11"/>
    <sheet name="Shares outstanding" sheetId="64" r:id="rId12"/>
    <sheet name="Balance Sheet " sheetId="50" r:id="rId13"/>
    <sheet name="Financial Metrics" sheetId="13" r:id="rId14"/>
    <sheet name="Income statement 2023" sheetId="11" r:id="rId15"/>
    <sheet name="Income Statement 2024" sheetId="10" r:id="rId16"/>
    <sheet name="Financial Summary (2)" sheetId="9" r:id="rId17"/>
    <sheet name="Previous ROE" sheetId="7" r:id="rId18"/>
    <sheet name="Projected ROE" sheetId="8" r:id="rId19"/>
    <sheet name="Bad Debts" sheetId="12" r:id="rId20"/>
    <sheet name="Error Checks" sheetId="72" r:id="rId21"/>
  </sheets>
  <definedNames>
    <definedName name="_xlnm._FilterDatabase" localSheetId="2" hidden="1">Contents!$A$1:$A$17</definedName>
    <definedName name="ExternalData_1" localSheetId="10" hidden="1">'Financial Summary (1)'!$A$1:$F$19</definedName>
    <definedName name="ExternalData_2" localSheetId="17" hidden="1">'Previous ROE'!$A$1:$D$7</definedName>
    <definedName name="ExternalData_3" localSheetId="18" hidden="1">'Projected ROE'!$A$1:$D$7</definedName>
    <definedName name="ExternalData_4" localSheetId="16" hidden="1">'Financial Summary (2)'!$A$1:$E$46</definedName>
    <definedName name="ExternalData_45" localSheetId="12" hidden="1">'Balance Sheet '!$A$1:$C$32</definedName>
    <definedName name="ExternalData_5" localSheetId="15" hidden="1">'Income Statement 2024'!$A$1:$E$19</definedName>
    <definedName name="ExternalData_6" localSheetId="14" hidden="1">'Income statement 2023'!$A$1:$E$19</definedName>
    <definedName name="ExternalData_7" localSheetId="19" hidden="1">'Bad Debts'!$A$1:$C$6</definedName>
    <definedName name="ExternalData_8" localSheetId="13" hidden="1">'Financial Metrics'!$A$1:$F$20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67" l="1"/>
  <c r="B4" i="67"/>
  <c r="B6" i="67"/>
  <c r="F4" i="1"/>
  <c r="F5" i="1"/>
  <c r="C2" i="2"/>
  <c r="F2" i="1"/>
  <c r="F3" i="1"/>
  <c r="F6" i="1"/>
  <c r="D6" i="2" s="1"/>
  <c r="C9" i="3"/>
  <c r="B9" i="3"/>
  <c r="A9" i="3"/>
  <c r="C8" i="3"/>
  <c r="B8" i="3"/>
  <c r="A8" i="3"/>
  <c r="C7" i="3"/>
  <c r="B7" i="3"/>
  <c r="A7" i="3"/>
  <c r="C6" i="3"/>
  <c r="B6" i="3"/>
  <c r="A6" i="3"/>
  <c r="C5" i="3"/>
  <c r="B5" i="3"/>
  <c r="A5" i="3"/>
  <c r="C6" i="2"/>
  <c r="C5" i="2"/>
  <c r="C4" i="2"/>
  <c r="D3" i="2"/>
  <c r="C3" i="2"/>
  <c r="E6" i="3" l="1"/>
  <c r="D6" i="3"/>
  <c r="E5" i="3"/>
  <c r="D2" i="2"/>
  <c r="D5" i="3"/>
  <c r="D7" i="3"/>
  <c r="E7" i="3"/>
  <c r="D4" i="2"/>
  <c r="E8" i="3"/>
  <c r="D8" i="3"/>
  <c r="D5" i="2"/>
  <c r="E9" i="3"/>
  <c r="D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88964F-261E-4A4F-B5A8-9764C9F25559}" keepAlive="1" name="Query - Balance Sheet (23 &amp; 24)" description="Connection to the 'Balance Sheet (23 &amp; 24)' query in the workbook." type="5" refreshedVersion="8" background="1" saveData="1">
    <dbPr connection="Provider=Microsoft.Mashup.OleDb.1;Data Source=$Workbook$;Location=&quot;Balance Sheet (23 &amp; 24)&quot;;Extended Properties=&quot;&quot;" command="SELECT * FROM [Balance Sheet (23 &amp; 24)]"/>
  </connection>
  <connection id="2" xr16:uid="{01FFFA38-F6FF-443F-B4A9-0BB6D24E76B9}" keepAlive="1" name="Query - Balance Sheet 3" description="Connection to the 'Balance Sheet 3' query in the workbook." type="5" refreshedVersion="8" background="1" saveData="1">
    <dbPr connection="Provider=Microsoft.Mashup.OleDb.1;Data Source=$Workbook$;Location=&quot;Balance Sheet 3&quot;;Extended Properties=&quot;&quot;" command="SELECT * FROM [Balance Sheet 3]"/>
  </connection>
  <connection id="3" xr16:uid="{B0F69091-B7D2-40B6-B8F0-9E26155D51B9}" keepAlive="1" name="Query - Financial Metrics" description="Connection to the 'Financial Metrics' query in the workbook." type="5" refreshedVersion="8" background="1" saveData="1">
    <dbPr connection="Provider=Microsoft.Mashup.OleDb.1;Data Source=$Workbook$;Location=&quot;Financial Metrics&quot;;Extended Properties=&quot;&quot;" command="SELECT * FROM [Financial Metrics]"/>
  </connection>
  <connection id="4" xr16:uid="{58E70E43-66B3-487F-81EA-78D00722B916}" keepAlive="1" name="Query - Financial Summary (1)" description="Connection to the 'Financial Summary (1)' query in the workbook." type="5" refreshedVersion="8" background="1" saveData="1">
    <dbPr connection="Provider=Microsoft.Mashup.OleDb.1;Data Source=$Workbook$;Location=&quot;Financial Summary (1)&quot;;Extended Properties=&quot;&quot;" command="SELECT * FROM [Financial Summary (1)]"/>
  </connection>
  <connection id="5" xr16:uid="{CBFE255E-6501-41BB-8A8C-9D4BA89D93B3}" keepAlive="1" name="Query - Financial Summary (A)" description="Connection to the 'Financial Summary (A)' query in the workbook." type="5" refreshedVersion="8" background="1" saveData="1">
    <dbPr connection="Provider=Microsoft.Mashup.OleDb.1;Data Source=$Workbook$;Location=&quot;Financial Summary (A)&quot;;Extended Properties=&quot;&quot;" command="SELECT * FROM [Financial Summary (A)]"/>
  </connection>
  <connection id="6" xr16:uid="{7BE480E2-76DF-4462-B16A-AAF2D0E85E2C}" keepAlive="1" name="Query - Income statement 2023" description="Connection to the 'Income statement 2023' query in the workbook." type="5" refreshedVersion="8" background="1" saveData="1">
    <dbPr connection="Provider=Microsoft.Mashup.OleDb.1;Data Source=$Workbook$;Location=&quot;Income statement 2023&quot;;Extended Properties=&quot;&quot;" command="SELECT * FROM [Income statement 2023]"/>
  </connection>
  <connection id="7" xr16:uid="{5F7458AF-D4A3-4953-8F6D-2A2F03A635AF}" keepAlive="1" name="Query - Income Statement 2024" description="Connection to the 'Income Statement 2024' query in the workbook." type="5" refreshedVersion="8" background="1" saveData="1">
    <dbPr connection="Provider=Microsoft.Mashup.OleDb.1;Data Source=$Workbook$;Location=&quot;Income Statement 2024&quot;;Extended Properties=&quot;&quot;" command="SELECT * FROM [Income Statement 2024]"/>
  </connection>
  <connection id="8" xr16:uid="{F37E81D5-EDAB-49F7-8D0C-65934261E6E5}" keepAlive="1" name="Query - ROE1" description="Connection to the 'ROE1' query in the workbook." type="5" refreshedVersion="8" background="1" saveData="1">
    <dbPr connection="Provider=Microsoft.Mashup.OleDb.1;Data Source=$Workbook$;Location=ROE1;Extended Properties=&quot;&quot;" command="SELECT * FROM [ROE1]"/>
  </connection>
  <connection id="9" xr16:uid="{1752FEA9-8425-418B-B70C-0262394A3A4A}" keepAlive="1" name="Query - ROE2" description="Connection to the 'ROE2' query in the workbook." type="5" refreshedVersion="8" background="1" saveData="1">
    <dbPr connection="Provider=Microsoft.Mashup.OleDb.1;Data Source=$Workbook$;Location=ROE2;Extended Properties=&quot;&quot;" command="SELECT * FROM [ROE2]"/>
  </connection>
  <connection id="10" xr16:uid="{D162B806-AE74-4808-A374-A290CD3F3AC9}" keepAlive="1" name="Query - Table041 (Page 35)" description="Connection to the 'Table041 (Page 35)' query in the workbook." type="5" refreshedVersion="8" background="1" saveData="1">
    <dbPr connection="Provider=Microsoft.Mashup.OleDb.1;Data Source=$Workbook$;Location=&quot;Table041 (Page 35)&quot;;Extended Properties=&quot;&quot;" command="SELECT * FROM [Table041 (Page 35)]"/>
  </connection>
  <connection id="11" xr16:uid="{670B694C-9B42-4BBA-A60F-6B46FCA7489F}" keepAlive="1" name="Query - Table053 (Page 53)" description="Connection to the 'Table053 (Page 53)' query in the workbook." type="5" refreshedVersion="8" background="1" saveData="1">
    <dbPr connection="Provider=Microsoft.Mashup.OleDb.1;Data Source=$Workbook$;Location=&quot;Table053 (Page 53)&quot;;Extended Properties=&quot;&quot;" command="SELECT * FROM [Table053 (Page 53)]"/>
  </connection>
  <connection id="12" xr16:uid="{4C4D40FF-85CF-41E2-A686-181F2724D289}" keepAlive="1" name="Query - Table053 (Page 53) (2)" description="Connection to the 'Table053 (Page 53) (2)' query in the workbook." type="5" refreshedVersion="8" background="1" saveData="1">
    <dbPr connection="Provider=Microsoft.Mashup.OleDb.1;Data Source=$Workbook$;Location=&quot;Table053 (Page 53) (2)&quot;;Extended Properties=&quot;&quot;" command="SELECT * FROM [Table053 (Page 53) (2)]"/>
  </connection>
  <connection id="13" xr16:uid="{B5EC6D71-4D96-485E-9B28-6EEABFC4FDDF}" keepAlive="1" name="Query - Table054 (Page 55)" description="Connection to the 'Table054 (Page 55)' query in the workbook." type="5" refreshedVersion="8" background="1" saveData="1">
    <dbPr connection="Provider=Microsoft.Mashup.OleDb.1;Data Source=$Workbook$;Location=&quot;Table054 (Page 55)&quot;;Extended Properties=&quot;&quot;" command="SELECT * FROM [Table054 (Page 55)]"/>
  </connection>
  <connection id="14" xr16:uid="{A4FBA092-FFBB-435C-94B2-AD0E82567156}" keepAlive="1" name="Query - Table055 (Page 56)" description="Connection to the 'Table055 (Page 56)' query in the workbook." type="5" refreshedVersion="8" background="1" saveData="1">
    <dbPr connection="Provider=Microsoft.Mashup.OleDb.1;Data Source=$Workbook$;Location=&quot;Table055 (Page 56)&quot;;Extended Properties=&quot;&quot;" command="SELECT * FROM [Table055 (Page 56)]"/>
  </connection>
  <connection id="15" xr16:uid="{ED12C1B1-717E-403F-9224-653069D2090E}" keepAlive="1" name="Query - Table056 (Page 56)" description="Connection to the 'Table056 (Page 56)' query in the workbook." type="5" refreshedVersion="8" background="1" saveData="1">
    <dbPr connection="Provider=Microsoft.Mashup.OleDb.1;Data Source=$Workbook$;Location=&quot;Table056 (Page 56)&quot;;Extended Properties=&quot;&quot;" command="SELECT * FROM [Table056 (Page 56)]"/>
  </connection>
  <connection id="16" xr16:uid="{A7EBA8E5-0F53-4D8F-AF72-654B47299338}" keepAlive="1" name="Query - Table057 (Page 57)" description="Connection to the 'Table057 (Page 57)' query in the workbook." type="5" refreshedVersion="8" background="1" saveData="1">
    <dbPr connection="Provider=Microsoft.Mashup.OleDb.1;Data Source=$Workbook$;Location=&quot;Table057 (Page 57)&quot;;Extended Properties=&quot;&quot;" command="SELECT * FROM [Table057 (Page 57)]"/>
  </connection>
  <connection id="17" xr16:uid="{03ACC3C3-7288-4FA5-9EAD-822A62D8401F}" keepAlive="1" name="Query - Table059 (Page 60)" description="Connection to the 'Table059 (Page 60)' query in the workbook." type="5" refreshedVersion="8" background="1" saveData="1">
    <dbPr connection="Provider=Microsoft.Mashup.OleDb.1;Data Source=$Workbook$;Location=&quot;Table059 (Page 60)&quot;;Extended Properties=&quot;&quot;" command="SELECT * FROM [Table059 (Page 60)]"/>
  </connection>
  <connection id="18" xr16:uid="{DEE0CDFC-1952-4C38-A041-CDD275ADD4F6}" keepAlive="1" name="Query - Table060 (Page 61)" description="Connection to the 'Table060 (Page 61)' query in the workbook." type="5" refreshedVersion="8" background="1" saveData="1">
    <dbPr connection="Provider=Microsoft.Mashup.OleDb.1;Data Source=$Workbook$;Location=&quot;Table060 (Page 61)&quot;;Extended Properties=&quot;&quot;" command="SELECT * FROM [Table060 (Page 61)]"/>
  </connection>
  <connection id="19" xr16:uid="{7F618EC4-97B6-4180-9C44-00640B1E3FF6}" keepAlive="1" name="Query - Table061 (Page 62)" description="Connection to the 'Table061 (Page 62)' query in the workbook." type="5" refreshedVersion="8" background="1" saveData="1">
    <dbPr connection="Provider=Microsoft.Mashup.OleDb.1;Data Source=$Workbook$;Location=&quot;Table061 (Page 62)&quot;;Extended Properties=&quot;&quot;" command="SELECT * FROM [Table061 (Page 62)]"/>
  </connection>
  <connection id="20" xr16:uid="{FBB66380-33DF-4FDE-B44C-EB6DF90E40AF}" keepAlive="1" name="Query - Table062 (Page 62)" description="Connection to the 'Table062 (Page 62)' query in the workbook." type="5" refreshedVersion="8" background="1" saveData="1">
    <dbPr connection="Provider=Microsoft.Mashup.OleDb.1;Data Source=$Workbook$;Location=&quot;Table062 (Page 62)&quot;;Extended Properties=&quot;&quot;" command="SELECT * FROM [Table062 (Page 62)]"/>
  </connection>
  <connection id="21" xr16:uid="{A3175A64-8CD6-457E-95DE-FA1FC9B43818}" keepAlive="1" name="Query - Table063 (Page 62-63)" description="Connection to the 'Table063 (Page 62-63)' query in the workbook." type="5" refreshedVersion="8" background="1" saveData="1">
    <dbPr connection="Provider=Microsoft.Mashup.OleDb.1;Data Source=$Workbook$;Location=&quot;Table063 (Page 62-63)&quot;;Extended Properties=&quot;&quot;" command="SELECT * FROM [Table063 (Page 62-63)]"/>
  </connection>
  <connection id="22" xr16:uid="{F031FAD3-10C3-4890-8EA6-D0B0475BDB38}" keepAlive="1" name="Query - Table064 (Page 63)" description="Connection to the 'Table064 (Page 63)' query in the workbook." type="5" refreshedVersion="8" background="1" saveData="1">
    <dbPr connection="Provider=Microsoft.Mashup.OleDb.1;Data Source=$Workbook$;Location=&quot;Table064 (Page 63)&quot;;Extended Properties=&quot;&quot;" command="SELECT * FROM [Table064 (Page 63)]"/>
  </connection>
  <connection id="23" xr16:uid="{E4AE7DBB-279A-4E55-A6BD-476144C22461}" keepAlive="1" name="Query - Table065 (Page 63-64)" description="Connection to the 'Table065 (Page 63-64)' query in the workbook." type="5" refreshedVersion="8" background="1" saveData="1">
    <dbPr connection="Provider=Microsoft.Mashup.OleDb.1;Data Source=$Workbook$;Location=&quot;Table065 (Page 63-64)&quot;;Extended Properties=&quot;&quot;" command="SELECT * FROM [Table065 (Page 63-64)]"/>
  </connection>
  <connection id="24" xr16:uid="{C0FCF6D0-53BB-4DB9-B5BE-5A1C0B35FBD7}" keepAlive="1" name="Query - Table066 (Page 64)" description="Connection to the 'Table066 (Page 64)' query in the workbook." type="5" refreshedVersion="8" background="1" saveData="1">
    <dbPr connection="Provider=Microsoft.Mashup.OleDb.1;Data Source=$Workbook$;Location=&quot;Table066 (Page 64)&quot;;Extended Properties=&quot;&quot;" command="SELECT * FROM [Table066 (Page 64)]"/>
  </connection>
  <connection id="25" xr16:uid="{396F8591-8BC3-437D-A6C7-2E97F12384FF}" keepAlive="1" name="Query - Table067 (Page 65)" description="Connection to the 'Table067 (Page 65)' query in the workbook." type="5" refreshedVersion="8" background="1" saveData="1">
    <dbPr connection="Provider=Microsoft.Mashup.OleDb.1;Data Source=$Workbook$;Location=&quot;Table067 (Page 65)&quot;;Extended Properties=&quot;&quot;" command="SELECT * FROM [Table067 (Page 65)]"/>
  </connection>
  <connection id="26" xr16:uid="{ECA3464E-1453-49E8-93F4-3D5112388F54}" keepAlive="1" name="Query - Table068 (Page 65)" description="Connection to the 'Table068 (Page 65)' query in the workbook." type="5" refreshedVersion="8" background="1" saveData="1">
    <dbPr connection="Provider=Microsoft.Mashup.OleDb.1;Data Source=$Workbook$;Location=&quot;Table068 (Page 65)&quot;;Extended Properties=&quot;&quot;" command="SELECT * FROM [Table068 (Page 65)]"/>
  </connection>
  <connection id="27" xr16:uid="{C5340EB3-B799-4C96-8206-0946619B14C1}" keepAlive="1" name="Query - Table069 (Page 66)" description="Connection to the 'Table069 (Page 66)' query in the workbook." type="5" refreshedVersion="8" background="1" saveData="1">
    <dbPr connection="Provider=Microsoft.Mashup.OleDb.1;Data Source=$Workbook$;Location=&quot;Table069 (Page 66)&quot;;Extended Properties=&quot;&quot;" command="SELECT * FROM [Table069 (Page 66)]"/>
  </connection>
  <connection id="28" xr16:uid="{D6C531B3-2462-49C0-AC31-7CFA1C5AB8E8}" keepAlive="1" name="Query - Table070 (Page 67)" description="Connection to the 'Table070 (Page 67)' query in the workbook." type="5" refreshedVersion="8" background="1" saveData="1">
    <dbPr connection="Provider=Microsoft.Mashup.OleDb.1;Data Source=$Workbook$;Location=&quot;Table070 (Page 67)&quot;;Extended Properties=&quot;&quot;" command="SELECT * FROM [Table070 (Page 67)]"/>
  </connection>
  <connection id="29" xr16:uid="{DE33079D-3A89-4388-A65A-AC6830E83074}" keepAlive="1" name="Query - Table071 (Page 67)" description="Connection to the 'Table071 (Page 67)' query in the workbook." type="5" refreshedVersion="8" background="1" saveData="1">
    <dbPr connection="Provider=Microsoft.Mashup.OleDb.1;Data Source=$Workbook$;Location=&quot;Table071 (Page 67)&quot;;Extended Properties=&quot;&quot;" command="SELECT * FROM [Table071 (Page 67)]"/>
  </connection>
  <connection id="30" xr16:uid="{C2835247-0F24-47FF-AE01-4469B7E06A30}" keepAlive="1" name="Query - Table072 (Page 67)" description="Connection to the 'Table072 (Page 67)' query in the workbook." type="5" refreshedVersion="8" background="1" saveData="1">
    <dbPr connection="Provider=Microsoft.Mashup.OleDb.1;Data Source=$Workbook$;Location=&quot;Table072 (Page 67)&quot;;Extended Properties=&quot;&quot;" command="SELECT * FROM [Table072 (Page 67)]"/>
  </connection>
  <connection id="31" xr16:uid="{504DB9B9-3B90-4187-90A2-6CAB138676B9}" keepAlive="1" name="Query - Table073 (Page 67-68)" description="Connection to the 'Table073 (Page 67-68)' query in the workbook." type="5" refreshedVersion="8" background="1" saveData="1">
    <dbPr connection="Provider=Microsoft.Mashup.OleDb.1;Data Source=$Workbook$;Location=&quot;Table073 (Page 67-68)&quot;;Extended Properties=&quot;&quot;" command="SELECT * FROM [Table073 (Page 67-68)]"/>
  </connection>
  <connection id="32" xr16:uid="{38A288F8-9455-4593-BDB9-EEADB1BA6242}" keepAlive="1" name="Query - Table074 (Page 68)" description="Connection to the 'Table074 (Page 68)' query in the workbook." type="5" refreshedVersion="8" background="1" saveData="1">
    <dbPr connection="Provider=Microsoft.Mashup.OleDb.1;Data Source=$Workbook$;Location=&quot;Table074 (Page 68)&quot;;Extended Properties=&quot;&quot;" command="SELECT * FROM [Table074 (Page 68)]"/>
  </connection>
  <connection id="33" xr16:uid="{7987132F-407F-4613-9266-2EB4D17E504F}" keepAlive="1" name="Query - Table075 (Page 69)" description="Connection to the 'Table075 (Page 69)' query in the workbook." type="5" refreshedVersion="8" background="1" saveData="1">
    <dbPr connection="Provider=Microsoft.Mashup.OleDb.1;Data Source=$Workbook$;Location=&quot;Table075 (Page 69)&quot;;Extended Properties=&quot;&quot;" command="SELECT * FROM [Table075 (Page 69)]"/>
  </connection>
  <connection id="34" xr16:uid="{34C435BE-469C-4A12-A5CF-7DC455BC80D9}" keepAlive="1" name="Query - Table076 (Page 70)" description="Connection to the 'Table076 (Page 70)' query in the workbook." type="5" refreshedVersion="8" background="1" saveData="1">
    <dbPr connection="Provider=Microsoft.Mashup.OleDb.1;Data Source=$Workbook$;Location=&quot;Table076 (Page 70)&quot;;Extended Properties=&quot;&quot;" command="SELECT * FROM [Table076 (Page 70)]"/>
  </connection>
  <connection id="35" xr16:uid="{B80272DD-85B8-4968-9889-B8AD0C3F7A5C}" keepAlive="1" name="Query - Table077 (Page 70)" description="Connection to the 'Table077 (Page 70)' query in the workbook." type="5" refreshedVersion="8" background="1" saveData="1">
    <dbPr connection="Provider=Microsoft.Mashup.OleDb.1;Data Source=$Workbook$;Location=&quot;Table077 (Page 70)&quot;;Extended Properties=&quot;&quot;" command="SELECT * FROM [Table077 (Page 70)]"/>
  </connection>
  <connection id="36" xr16:uid="{449A2FE6-AD3A-4FF4-899A-DA9D35146948}" keepAlive="1" name="Query - Table078 (Page 70)" description="Connection to the 'Table078 (Page 70)' query in the workbook." type="5" refreshedVersion="8" background="1" saveData="1">
    <dbPr connection="Provider=Microsoft.Mashup.OleDb.1;Data Source=$Workbook$;Location=&quot;Table078 (Page 70)&quot;;Extended Properties=&quot;&quot;" command="SELECT * FROM [Table078 (Page 70)]"/>
  </connection>
  <connection id="37" xr16:uid="{8366086B-19C2-48F3-BC2B-7F63D18FB86D}" keepAlive="1" name="Query - Table079 (Page 71)" description="Connection to the 'Table079 (Page 71)' query in the workbook." type="5" refreshedVersion="8" background="1" saveData="1">
    <dbPr connection="Provider=Microsoft.Mashup.OleDb.1;Data Source=$Workbook$;Location=&quot;Table079 (Page 71)&quot;;Extended Properties=&quot;&quot;" command="SELECT * FROM [Table079 (Page 71)]"/>
  </connection>
  <connection id="38" xr16:uid="{861494CD-88E1-43E7-B802-D5632733D025}" keepAlive="1" name="Query - Table080 (Page 72)" description="Connection to the 'Table080 (Page 72)' query in the workbook." type="5" refreshedVersion="8" background="1" saveData="1">
    <dbPr connection="Provider=Microsoft.Mashup.OleDb.1;Data Source=$Workbook$;Location=&quot;Table080 (Page 72)&quot;;Extended Properties=&quot;&quot;" command="SELECT * FROM [Table080 (Page 72)]"/>
  </connection>
  <connection id="39" xr16:uid="{92081AC2-6FA2-4EA0-B5DD-6CE9BED7CBBF}" keepAlive="1" name="Query - Table081 (Page 72-73)" description="Connection to the 'Table081 (Page 72-73)' query in the workbook." type="5" refreshedVersion="8" background="1" saveData="1">
    <dbPr connection="Provider=Microsoft.Mashup.OleDb.1;Data Source=$Workbook$;Location=&quot;Table081 (Page 72-73)&quot;;Extended Properties=&quot;&quot;" command="SELECT * FROM [Table081 (Page 72-73)]"/>
  </connection>
  <connection id="40" xr16:uid="{3B34C27A-5ECF-460D-9A2F-9847AF3BAA05}" keepAlive="1" name="Query - Table082 (Page 73)" description="Connection to the 'Table082 (Page 73)' query in the workbook." type="5" refreshedVersion="8" background="1" saveData="1">
    <dbPr connection="Provider=Microsoft.Mashup.OleDb.1;Data Source=$Workbook$;Location=&quot;Table082 (Page 73)&quot;;Extended Properties=&quot;&quot;" command="SELECT * FROM [Table082 (Page 73)]"/>
  </connection>
  <connection id="41" xr16:uid="{CC8A9DE5-C179-4854-91C8-E17F5B101409}" keepAlive="1" name="Query - Table083 (Page 73)" description="Connection to the 'Table083 (Page 73)' query in the workbook." type="5" refreshedVersion="8" background="1" saveData="1">
    <dbPr connection="Provider=Microsoft.Mashup.OleDb.1;Data Source=$Workbook$;Location=&quot;Table083 (Page 73)&quot;;Extended Properties=&quot;&quot;" command="SELECT * FROM [Table083 (Page 73)]"/>
  </connection>
  <connection id="42" xr16:uid="{2BB58FCC-711A-478A-B81C-2C99150565DE}" keepAlive="1" name="Query - Table084 (Page 74)" description="Connection to the 'Table084 (Page 74)' query in the workbook." type="5" refreshedVersion="8" background="1" saveData="1">
    <dbPr connection="Provider=Microsoft.Mashup.OleDb.1;Data Source=$Workbook$;Location=&quot;Table084 (Page 74)&quot;;Extended Properties=&quot;&quot;" command="SELECT * FROM [Table084 (Page 74)]"/>
  </connection>
  <connection id="43" xr16:uid="{906AD04D-F1B8-4B76-A8D2-2B829592E947}" keepAlive="1" name="Query - Table085 (Page 74)" description="Connection to the 'Table085 (Page 74)' query in the workbook." type="5" refreshedVersion="8" background="1" saveData="1">
    <dbPr connection="Provider=Microsoft.Mashup.OleDb.1;Data Source=$Workbook$;Location=&quot;Table085 (Page 74)&quot;;Extended Properties=&quot;&quot;" command="SELECT * FROM [Table085 (Page 74)]"/>
  </connection>
  <connection id="44" xr16:uid="{8003F833-59EE-4548-BB67-0E1B10C060BD}" keepAlive="1" name="Query - Table086 (Page 74)" description="Connection to the 'Table086 (Page 74)' query in the workbook." type="5" refreshedVersion="8" background="1" saveData="1">
    <dbPr connection="Provider=Microsoft.Mashup.OleDb.1;Data Source=$Workbook$;Location=&quot;Table086 (Page 74)&quot;;Extended Properties=&quot;&quot;" command="SELECT * FROM [Table086 (Page 74)]"/>
  </connection>
  <connection id="45" xr16:uid="{C91B7433-553C-413C-A470-251FF46CAF50}" keepAlive="1" name="Query - Table087 (Page 75)" description="Connection to the 'Table087 (Page 75)' query in the workbook." type="5" refreshedVersion="8" background="1" saveData="1">
    <dbPr connection="Provider=Microsoft.Mashup.OleDb.1;Data Source=$Workbook$;Location=&quot;Table087 (Page 75)&quot;;Extended Properties=&quot;&quot;" command="SELECT * FROM [Table087 (Page 75)]"/>
  </connection>
  <connection id="46" xr16:uid="{953B131E-2775-4B7D-A397-586F513C3A46}" keepAlive="1" name="Query - Table088 (Page 75)" description="Connection to the 'Table088 (Page 75)' query in the workbook." type="5" refreshedVersion="8" background="1" saveData="1">
    <dbPr connection="Provider=Microsoft.Mashup.OleDb.1;Data Source=$Workbook$;Location=&quot;Table088 (Page 75)&quot;;Extended Properties=&quot;&quot;" command="SELECT * FROM [Table088 (Page 75)]"/>
  </connection>
  <connection id="47" xr16:uid="{E63E875B-D521-4808-B7FE-1E8DD3C2D7F6}" keepAlive="1" name="Query - Table089 (Page 76)" description="Connection to the 'Table089 (Page 76)' query in the workbook." type="5" refreshedVersion="8" background="1" saveData="1">
    <dbPr connection="Provider=Microsoft.Mashup.OleDb.1;Data Source=$Workbook$;Location=&quot;Table089 (Page 76)&quot;;Extended Properties=&quot;&quot;" command="SELECT * FROM [Table089 (Page 76)]"/>
  </connection>
  <connection id="48" xr16:uid="{BCB7BBC5-59E0-419C-907F-D3E42D93B084}" keepAlive="1" name="Query - Table091 (Page 78)" description="Connection to the 'Table091 (Page 78)' query in the workbook." type="5" refreshedVersion="8" background="1" saveData="1">
    <dbPr connection="Provider=Microsoft.Mashup.OleDb.1;Data Source=$Workbook$;Location=&quot;Table091 (Page 78)&quot;;Extended Properties=&quot;&quot;" command="SELECT * FROM [Table091 (Page 78)]"/>
  </connection>
  <connection id="49" xr16:uid="{B89156AD-B3A7-4831-AEC1-3C5FEF6A58F9}" keepAlive="1" name="Query - Table092 (Page 80)" description="Connection to the 'Table092 (Page 80)' query in the workbook." type="5" refreshedVersion="8" background="1" saveData="1">
    <dbPr connection="Provider=Microsoft.Mashup.OleDb.1;Data Source=$Workbook$;Location=&quot;Table092 (Page 80)&quot;;Extended Properties=&quot;&quot;" command="SELECT * FROM [Table092 (Page 80)]"/>
  </connection>
  <connection id="50" xr16:uid="{E8F29241-8E54-4ED6-8A58-E50A6065CAA1}" keepAlive="1" name="Query - Table093 (Page 81)" description="Connection to the 'Table093 (Page 81)' query in the workbook." type="5" refreshedVersion="8" background="1" saveData="1">
    <dbPr connection="Provider=Microsoft.Mashup.OleDb.1;Data Source=$Workbook$;Location=&quot;Table093 (Page 81)&quot;;Extended Properties=&quot;&quot;" command="SELECT * FROM [Table093 (Page 81)]"/>
  </connection>
  <connection id="51" xr16:uid="{93891607-9843-4D96-8ECA-0D09A6D9AD92}" keepAlive="1" name="Query - Table094 (Page 82)" description="Connection to the 'Table094 (Page 82)' query in the workbook." type="5" refreshedVersion="8" background="1" saveData="1">
    <dbPr connection="Provider=Microsoft.Mashup.OleDb.1;Data Source=$Workbook$;Location=&quot;Table094 (Page 82)&quot;;Extended Properties=&quot;&quot;" command="SELECT * FROM [Table094 (Page 82)]"/>
  </connection>
  <connection id="52" xr16:uid="{781E5456-7E59-4618-8E2E-FA6FBE54C1E6}" keepAlive="1" name="Query - Table095 (Page 94)" description="Connection to the 'Table095 (Page 94)' query in the workbook." type="5" refreshedVersion="8" background="1" saveData="1">
    <dbPr connection="Provider=Microsoft.Mashup.OleDb.1;Data Source=$Workbook$;Location=&quot;Table095 (Page 94)&quot;;Extended Properties=&quot;&quot;" command="SELECT * FROM [Table095 (Page 94)]"/>
  </connection>
  <connection id="53" xr16:uid="{585D44E7-4F97-4824-85E8-F2F0BEAE9B6E}" keepAlive="1" name="Query - Table097 (Page 99)" description="Connection to the 'Table097 (Page 99)' query in the workbook." type="5" refreshedVersion="8" background="1" saveData="1">
    <dbPr connection="Provider=Microsoft.Mashup.OleDb.1;Data Source=$Workbook$;Location=&quot;Table097 (Page 99)&quot;;Extended Properties=&quot;&quot;" command="SELECT * FROM [Table097 (Page 99)]"/>
  </connection>
  <connection id="54" xr16:uid="{96B6C086-E8BA-450C-9738-A03D391497E8}" keepAlive="1" name="Query - Table099 (Page 100)" description="Connection to the 'Table099 (Page 100)' query in the workbook." type="5" refreshedVersion="8" background="1" saveData="1">
    <dbPr connection="Provider=Microsoft.Mashup.OleDb.1;Data Source=$Workbook$;Location=&quot;Table099 (Page 100)&quot;;Extended Properties=&quot;&quot;" command="SELECT * FROM [Table099 (Page 100)]"/>
  </connection>
  <connection id="55" xr16:uid="{AC666CD6-7867-4538-A3B2-87D141092A05}" keepAlive="1" name="Query - Table100 (Page 101)" description="Connection to the 'Table100 (Page 101)' query in the workbook." type="5" refreshedVersion="8" background="1" saveData="1">
    <dbPr connection="Provider=Microsoft.Mashup.OleDb.1;Data Source=$Workbook$;Location=&quot;Table100 (Page 101)&quot;;Extended Properties=&quot;&quot;" command="SELECT * FROM [Table100 (Page 101)]"/>
  </connection>
  <connection id="56" xr16:uid="{FF402420-CE36-4C99-B066-692ACBDD0B42}" keepAlive="1" name="Query - Table101 (Page 101)" description="Connection to the 'Table101 (Page 101)' query in the workbook." type="5" refreshedVersion="8" background="1" saveData="1">
    <dbPr connection="Provider=Microsoft.Mashup.OleDb.1;Data Source=$Workbook$;Location=&quot;Table101 (Page 101)&quot;;Extended Properties=&quot;&quot;" command="SELECT * FROM [Table101 (Page 101)]"/>
  </connection>
  <connection id="57" xr16:uid="{67176500-FF4F-4B77-BA0B-4D82B7B4E4B6}" keepAlive="1" name="Query - Table102 (Page 102)" description="Connection to the 'Table102 (Page 102)' query in the workbook." type="5" refreshedVersion="8" background="1" saveData="1">
    <dbPr connection="Provider=Microsoft.Mashup.OleDb.1;Data Source=$Workbook$;Location=&quot;Table102 (Page 102)&quot;;Extended Properties=&quot;&quot;" command="SELECT * FROM [Table102 (Page 102)]"/>
  </connection>
</connections>
</file>

<file path=xl/sharedStrings.xml><?xml version="1.0" encoding="utf-8"?>
<sst xmlns="http://schemas.openxmlformats.org/spreadsheetml/2006/main" count="695" uniqueCount="553">
  <si>
    <t>Year</t>
  </si>
  <si>
    <t>ROE (%)</t>
  </si>
  <si>
    <t>P/E</t>
  </si>
  <si>
    <t>P/B</t>
  </si>
  <si>
    <t>Assumed P/E Multiple</t>
  </si>
  <si>
    <t>Assumed P/B Multiple</t>
  </si>
  <si>
    <t>EPS</t>
  </si>
  <si>
    <t>Implied Price (P/E)</t>
  </si>
  <si>
    <t>BVPS</t>
  </si>
  <si>
    <t>Implied Price (P/B)</t>
  </si>
  <si>
    <t xml:space="preserve">Net Income </t>
  </si>
  <si>
    <t xml:space="preserve">Diluted EPS </t>
  </si>
  <si>
    <t xml:space="preserve">Equity </t>
  </si>
  <si>
    <t xml:space="preserve">BVPS </t>
  </si>
  <si>
    <t>Book Value Per Share  (BVPS) = equity/ shares o/s</t>
  </si>
  <si>
    <t>Return on equity (ROE) =Net Income /Equity</t>
  </si>
  <si>
    <t xml:space="preserve">Avg Share Price </t>
  </si>
  <si>
    <t>P/E= Share price/EPS</t>
  </si>
  <si>
    <t>P/B=Share price/BVPS</t>
  </si>
  <si>
    <t xml:space="preserve">Shares Outstanding </t>
  </si>
  <si>
    <t>*expressed in thousands</t>
  </si>
  <si>
    <t>($ IN 000’S)</t>
  </si>
  <si>
    <t>Total assets</t>
  </si>
  <si>
    <t>1,501,916</t>
  </si>
  <si>
    <t>Consumer loans receivable, net</t>
  </si>
  <si>
    <t>Cash</t>
  </si>
  <si>
    <t>93,053</t>
  </si>
  <si>
    <t>Total liabilities</t>
  </si>
  <si>
    <t>Notes payable</t>
  </si>
  <si>
    <t>Revolving securitization warehouse facilities</t>
  </si>
  <si>
    <t>-</t>
  </si>
  <si>
    <t>Secured borrowings</t>
  </si>
  <si>
    <t>Revolving credit facility</t>
  </si>
  <si>
    <t>Column1</t>
  </si>
  <si>
    <t>Column4</t>
  </si>
  <si>
    <t>Column5</t>
  </si>
  <si>
    <t>2021</t>
  </si>
  <si>
    <t>2020</t>
  </si>
  <si>
    <t>INCOME STATEMENT</t>
  </si>
  <si>
    <t>Revenue</t>
  </si>
  <si>
    <t>826,722</t>
  </si>
  <si>
    <t>652,922</t>
  </si>
  <si>
    <t>Operating income</t>
  </si>
  <si>
    <t>216,436</t>
  </si>
  <si>
    <t>Net income</t>
  </si>
  <si>
    <t>244,943</t>
  </si>
  <si>
    <t>136,505</t>
  </si>
  <si>
    <t>Diluted earnings per share</t>
  </si>
  <si>
    <t>14.62</t>
  </si>
  <si>
    <t>8.76</t>
  </si>
  <si>
    <t>BALANCE SHEET</t>
  </si>
  <si>
    <t>Gross consumer loans receivable</t>
  </si>
  <si>
    <t>2,030,339</t>
  </si>
  <si>
    <t>1,246,840</t>
  </si>
  <si>
    <t>Lease assets</t>
  </si>
  <si>
    <t>49,384</t>
  </si>
  <si>
    <t>887,749</t>
  </si>
  <si>
    <t>Shareholders’ equity</t>
  </si>
  <si>
    <t>443,512</t>
  </si>
  <si>
    <t>FINANCIAL METRICS</t>
  </si>
  <si>
    <t>Revenue growth</t>
  </si>
  <si>
    <t>Operating margin</t>
  </si>
  <si>
    <t>38.3%</t>
  </si>
  <si>
    <t>174,759</t>
  </si>
  <si>
    <t>117,646</t>
  </si>
  <si>
    <t>10.43</t>
  </si>
  <si>
    <t>7.57</t>
  </si>
  <si>
    <t>Return on assets</t>
  </si>
  <si>
    <t>11.5%</t>
  </si>
  <si>
    <t>9.8%</t>
  </si>
  <si>
    <t>Adjusted return on assets^{1}</t>
  </si>
  <si>
    <t>8.2%</t>
  </si>
  <si>
    <t>8.5%</t>
  </si>
  <si>
    <t>Return on equity</t>
  </si>
  <si>
    <t>36.7%</t>
  </si>
  <si>
    <t>36.1%</t>
  </si>
  <si>
    <t>Adjusted return on equity^{1}</t>
  </si>
  <si>
    <t>26.2%</t>
  </si>
  <si>
    <t>31.1%</t>
  </si>
  <si>
    <t>50.7%</t>
  </si>
  <si>
    <t>35.3%</t>
  </si>
  <si>
    <t>33.0%</t>
  </si>
  <si>
    <t>2.64</t>
  </si>
  <si>
    <t>1.80</t>
  </si>
  <si>
    <t>Gross loan originations</t>
  </si>
  <si>
    <t>DECEMBER 31, 2024</t>
  </si>
  <si>
    <t>DECEMBER 31, 2023</t>
  </si>
  <si>
    <t>Provision required due to net charge offs</t>
  </si>
  <si>
    <t>Impact of loan book growth</t>
  </si>
  <si>
    <t>Impact of change in allowance for expected credit losses rate</t>
  </si>
  <si>
    <t>Net change in allowance for credit losses</t>
  </si>
  <si>
    <t>Bad debt expense</t>
  </si>
  <si>
    <t>($ IN 000’S EXCEPT PERCENTAGES AND PER SHARE AMOUNTS)</t>
  </si>
  <si>
    <t>2024^{3}</t>
  </si>
  <si>
    <t>2023^{3}</t>
  </si>
  <si>
    <t>2022^{3}</t>
  </si>
  <si>
    <t>2021^{3}</t>
  </si>
  <si>
    <t>Gross Consumer Loans Receivable</t>
  </si>
  <si>
    <t>Adjusted net income^{1}</t>
  </si>
  <si>
    <t>Return on receivables^{2}</t>
  </si>
  <si>
    <t>Adjusted return on receivables^{1,2}</t>
  </si>
  <si>
    <t>Return on tangible common equity^{1}</t>
  </si>
  <si>
    <t>Adjusted return on tangible common equity^{1}</t>
  </si>
  <si>
    <t>Net income as a percentage of revenue</t>
  </si>
  <si>
    <t>29.6%</t>
  </si>
  <si>
    <t>20.9%</t>
  </si>
  <si>
    <t>Adjusted net income as a percentage of revenue^{1}</t>
  </si>
  <si>
    <t>21.1%</t>
  </si>
  <si>
    <t>18.0%</t>
  </si>
  <si>
    <t>Dividends declared on Common Shares</t>
  </si>
  <si>
    <t>42,312</t>
  </si>
  <si>
    <t>26,103</t>
  </si>
  <si>
    <t>Cash dividends declared per Common Share</t>
  </si>
  <si>
    <t>Basic</t>
  </si>
  <si>
    <t>15.12</t>
  </si>
  <si>
    <t>9.21</t>
  </si>
  <si>
    <t>Adjusted diluted^{1}</t>
  </si>
  <si>
    <t>DECEMBER 31,</t>
  </si>
  <si>
    <t>VARIANCE</t>
  </si>
  <si>
    <t>($ IN 000’S EXCEPT EARNINGS PER SHARE AND PERCENTAGES)</t>
  </si>
  <si>
    <t>2024</t>
  </si>
  <si>
    <t>2023</t>
  </si>
  <si>
    <t>$ / BPS</t>
  </si>
  <si>
    <t>% CHANGE</t>
  </si>
  <si>
    <t>Summary Financial Results</t>
  </si>
  <si>
    <t>Bad debts</t>
  </si>
  <si>
    <t>Other operating expenses</t>
  </si>
  <si>
    <t>EBITDA^{1}</t>
  </si>
  <si>
    <t>EBITDA margin^{1}</t>
  </si>
  <si>
    <t>Depreciation and amortization</t>
  </si>
  <si>
    <t>10 bps</t>
  </si>
  <si>
    <t>Other income</t>
  </si>
  <si>
    <t>Finance costs</t>
  </si>
  <si>
    <t>Effective income tax rate</t>
  </si>
  <si>
    <t>(100 bps)</t>
  </si>
  <si>
    <t>Return on receivables</t>
  </si>
  <si>
    <t>6.5%</t>
  </si>
  <si>
    <t>Adjusted Financial Results^{1,2}</t>
  </si>
  <si>
    <t>2.2%</t>
  </si>
  <si>
    <t>Efficiency ratio</t>
  </si>
  <si>
    <t>6.8%</t>
  </si>
  <si>
    <t>6.1%</t>
  </si>
  <si>
    <t>25.9%</t>
  </si>
  <si>
    <t>(80 bps)</t>
  </si>
  <si>
    <t>Return on tangible common equity</t>
  </si>
  <si>
    <t>32.5%</t>
  </si>
  <si>
    <t>Key Performance Indicators</t>
  </si>
  <si>
    <t>Segment Financials</t>
  </si>
  <si>
    <t>easyfinancial revenue</t>
  </si>
  <si>
    <t>easyfinancial operating margin</t>
  </si>
  <si>
    <t>easyhome revenue</t>
  </si>
  <si>
    <t>easyhome operating margin</t>
  </si>
  <si>
    <t>26.4%</t>
  </si>
  <si>
    <t>Portfolio Indicators</t>
  </si>
  <si>
    <t>4,596,115</t>
  </si>
  <si>
    <t>3,645,202</t>
  </si>
  <si>
    <t>950,913</t>
  </si>
  <si>
    <t>26.1%</t>
  </si>
  <si>
    <t>Growth in consumer loans receivable</t>
  </si>
  <si>
    <t>Total yield on consumer loans (including ancillary products)^{1}</t>
  </si>
  <si>
    <t>Net charge offs as a percentage of average gross consumer loans receivable</t>
  </si>
  <si>
    <t>30 bps</t>
  </si>
  <si>
    <t>3.4%</t>
  </si>
  <si>
    <t>Free cash flows from operations before net growth in gross consumer loans receivable^{1}</t>
  </si>
  <si>
    <t>Potential monthly leasing revenue^{1}</t>
  </si>
  <si>
    <t>6,875</t>
  </si>
  <si>
    <t>7,654</t>
  </si>
  <si>
    <t>(779)</t>
  </si>
  <si>
    <t>(10.2%)</t>
  </si>
  <si>
    <t>($ IN 000'S EXCEPT EARNINGS PER SHARE)</t>
  </si>
  <si>
    <t>EASYFINANCIAL</t>
  </si>
  <si>
    <t>CORPORATE</t>
  </si>
  <si>
    <t>TOTAL</t>
  </si>
  <si>
    <t>Interest income</t>
  </si>
  <si>
    <t>Lease revenue</t>
  </si>
  <si>
    <t>Commissions earned</t>
  </si>
  <si>
    <t>Charges and fees</t>
  </si>
  <si>
    <t>Operating expenses</t>
  </si>
  <si>
    <t>Operating income (loss)</t>
  </si>
  <si>
    <t>Income before income taxes</t>
  </si>
  <si>
    <t>Income taxes</t>
  </si>
  <si>
    <t>Gross consumer loans
receivable</t>
  </si>
  <si>
    <t>YEAR</t>
  </si>
  <si>
    <t>ENDED</t>
  </si>
  <si>
    <t>3,166,227</t>
  </si>
  <si>
    <t>2,709,194</t>
  </si>
  <si>
    <t>850,508</t>
  </si>
  <si>
    <t>7.5%</t>
  </si>
  <si>
    <t>4.7%</t>
  </si>
  <si>
    <t>7.6%</t>
  </si>
  <si>
    <t>Total Company revenue</t>
  </si>
  <si>
    <t>1,523,289</t>
  </si>
  <si>
    <t>1,250,069</t>
  </si>
  <si>
    <t>ACTUAL RESULTS
FOR 2024</t>
  </si>
  <si>
    <t>UPDATED FORECASTS
FOR 2024</t>
  </si>
  <si>
    <t>OUTCOME</t>
  </si>
  <si>
    <t>Gross consumer loans receivable at year-end</t>
  </si>
  <si>
    <t>$4.60 billion</t>
  </si>
  <si>
    <t>$4.55 - $4.65 billion</t>
  </si>
  <si>
    <t>Consistent with forecast</t>
  </si>
  <si>
    <t>$1.52 billion</t>
  </si>
  <si>
    <t>$1.50 - $1.60 billion</t>
  </si>
  <si>
    <t>34.1 %</t>
  </si>
  <si>
    <t>33.0% - 35.0%</t>
  </si>
  <si>
    <t>Net charge offs as a percentage of average
gross consumer loans receivable</t>
  </si>
  <si>
    <t>9.2%</t>
  </si>
  <si>
    <t>8.0% - 10.0%</t>
  </si>
  <si>
    <t>Total Company operating margin (reported/adjusted^{1,2} )</t>
  </si>
  <si>
    <t>40.0%/41.2%</t>
  </si>
  <si>
    <t>39% +</t>
  </si>
  <si>
    <t>Return on equity (reported/adjusted^{1,2} )</t>
  </si>
  <si>
    <t>24.9%/25.5%</t>
  </si>
  <si>
    <t>21% +</t>
  </si>
  <si>
    <t>273,220</t>
  </si>
  <si>
    <t>21.9%</t>
  </si>
  <si>
    <t>467,764</t>
  </si>
  <si>
    <t>341,639</t>
  </si>
  <si>
    <t>126,125</t>
  </si>
  <si>
    <t>36.9%</t>
  </si>
  <si>
    <t>361,973</t>
  </si>
  <si>
    <t>345,581</t>
  </si>
  <si>
    <t>16,392</t>
  </si>
  <si>
    <t>667,202</t>
  </si>
  <si>
    <t>539,085</t>
  </si>
  <si>
    <t>128,117</t>
  </si>
  <si>
    <t>23.8%</t>
  </si>
  <si>
    <t>43.8%</t>
  </si>
  <si>
    <t>43.1%</t>
  </si>
  <si>
    <t>70 bps</t>
  </si>
  <si>
    <t>1.6%</t>
  </si>
  <si>
    <t>83,895</t>
  </si>
  <si>
    <t>86,331</t>
  </si>
  <si>
    <t>(2,436)</t>
  </si>
  <si>
    <t>(2.8%)</t>
  </si>
  <si>
    <t>609,657</t>
  </si>
  <si>
    <t>476,518</t>
  </si>
  <si>
    <t>133,139</t>
  </si>
  <si>
    <t>27.9%</t>
  </si>
  <si>
    <t>40.0%</t>
  </si>
  <si>
    <t>38.1%</t>
  </si>
  <si>
    <t>190 bps</t>
  </si>
  <si>
    <t>5.0%</t>
  </si>
  <si>
    <t>3,132</t>
  </si>
  <si>
    <t>9,771</t>
  </si>
  <si>
    <t>(6,639)</t>
  </si>
  <si>
    <t>(67.9%)</t>
  </si>
  <si>
    <t>225,492</t>
  </si>
  <si>
    <t>149,334</t>
  </si>
  <si>
    <t>76,158</t>
  </si>
  <si>
    <t>51.0%</t>
  </si>
  <si>
    <t>26.9%</t>
  </si>
  <si>
    <t>50 bps</t>
  </si>
  <si>
    <t>1.9%</t>
  </si>
  <si>
    <t>283,110</t>
  </si>
  <si>
    <t>247,898</t>
  </si>
  <si>
    <t>35,212</t>
  </si>
  <si>
    <t>14.2%</t>
  </si>
  <si>
    <t>16.30</t>
  </si>
  <si>
    <t>14.48</t>
  </si>
  <si>
    <t>1.82</t>
  </si>
  <si>
    <t>12.6%</t>
  </si>
  <si>
    <t>(10.5%)</t>
  </si>
  <si>
    <t>6.7%</t>
  </si>
  <si>
    <t>(60 bps)</t>
  </si>
  <si>
    <t>(9.0%)</t>
  </si>
  <si>
    <t>24.9%</t>
  </si>
  <si>
    <t>(3.9%)</t>
  </si>
  <si>
    <t>32.8%</t>
  </si>
  <si>
    <t>(390 bps)</t>
  </si>
  <si>
    <t>(10.6%)</t>
  </si>
  <si>
    <t>386,017</t>
  </si>
  <si>
    <t>377,574</t>
  </si>
  <si>
    <t>8,443</t>
  </si>
  <si>
    <t>25.3%</t>
  </si>
  <si>
    <t>30.2%</t>
  </si>
  <si>
    <t>(490 bps)</t>
  </si>
  <si>
    <t>(16.2%)</t>
  </si>
  <si>
    <t>628,195</t>
  </si>
  <si>
    <t>491,160</t>
  </si>
  <si>
    <t>137,035</t>
  </si>
  <si>
    <t>41.2%</t>
  </si>
  <si>
    <t>39.3%</t>
  </si>
  <si>
    <t>4.8%</t>
  </si>
  <si>
    <t>290,142</t>
  </si>
  <si>
    <t>243,175</t>
  </si>
  <si>
    <t>46,967</t>
  </si>
  <si>
    <t>19.3%</t>
  </si>
  <si>
    <t>16.71</t>
  </si>
  <si>
    <t>14.21</t>
  </si>
  <si>
    <t>2.50</t>
  </si>
  <si>
    <t>17.6%</t>
  </si>
  <si>
    <t>7.0%</t>
  </si>
  <si>
    <t>(50 bps)</t>
  </si>
  <si>
    <t>(6.7%)</t>
  </si>
  <si>
    <t>6.2%</t>
  </si>
  <si>
    <t>(30 bps)</t>
  </si>
  <si>
    <t>(4.6%)</t>
  </si>
  <si>
    <t>25.5%</t>
  </si>
  <si>
    <t>25.4%</t>
  </si>
  <si>
    <t>0.4%</t>
  </si>
  <si>
    <t>34.6%</t>
  </si>
  <si>
    <t>(210 bps)</t>
  </si>
  <si>
    <t>(6.1%)</t>
  </si>
  <si>
    <t>1,370,414</t>
  </si>
  <si>
    <t>1,096,817</t>
  </si>
  <si>
    <t>273,597</t>
  </si>
  <si>
    <t>48.6%</t>
  </si>
  <si>
    <t>48.7%</t>
  </si>
  <si>
    <t>(10 bps)</t>
  </si>
  <si>
    <t>(0.2%)</t>
  </si>
  <si>
    <t>152,875</t>
  </si>
  <si>
    <t>153,252</t>
  </si>
  <si>
    <t>(377)</t>
  </si>
  <si>
    <t>29.2%</t>
  </si>
  <si>
    <t>24.1%</t>
  </si>
  <si>
    <t>510 bps</t>
  </si>
  <si>
    <t>21.2%</t>
  </si>
  <si>
    <t>100,405</t>
  </si>
  <si>
    <t>11.8%</t>
  </si>
  <si>
    <t>457,033</t>
  </si>
  <si>
    <t>16.9%</t>
  </si>
  <si>
    <t>34.1%</t>
  </si>
  <si>
    <t>(120 bps)</t>
  </si>
  <si>
    <t>(3.4%)</t>
  </si>
  <si>
    <t>8.9%</t>
  </si>
  <si>
    <t>481,467</t>
  </si>
  <si>
    <t>377,291</t>
  </si>
  <si>
    <t>104,176</t>
  </si>
  <si>
    <t>27.6%</t>
  </si>
  <si>
    <t>FORECASTS
FOR 2025</t>
  </si>
  <si>
    <t>FORECASTS
FOR 2026</t>
  </si>
  <si>
    <t>FORECASTS
FOR 2027</t>
  </si>
  <si>
    <t>Gross consumer loans receivable at year end</t>
  </si>
  <si>
    <t>$5.40 - $5.70 Billion</t>
  </si>
  <si>
    <t>$6.40 - $6.70 Billion</t>
  </si>
  <si>
    <t>$7.35 - $7.75 Billion</t>
  </si>
  <si>
    <t>$1.62 - $1.82 Billion</t>
  </si>
  <si>
    <t>$1.80 - $2.00 Billion</t>
  </si>
  <si>
    <t>$2.00 - $2.20 Billion</t>
  </si>
  <si>
    <t>Total yield on consumer loans (including ancillary
products)^{1}</t>
  </si>
  <si>
    <t>31.0% - 32.5%</t>
  </si>
  <si>
    <t>29.0% - 31.0%</t>
  </si>
  <si>
    <t>Net charge offs as a percentage of average gross
consumer loans receivable</t>
  </si>
  <si>
    <t>7.75% - 9.75%</t>
  </si>
  <si>
    <t>7.5% - 9.5%</t>
  </si>
  <si>
    <t>Total Company operating margin</t>
  </si>
  <si>
    <t>41% +</t>
  </si>
  <si>
    <t>42.5% +</t>
  </si>
  <si>
    <t>43% +</t>
  </si>
  <si>
    <t>23% +</t>
  </si>
  <si>
    <t>EASYHOME (Dec 31, 2024)</t>
  </si>
  <si>
    <t>1,081,843</t>
  </si>
  <si>
    <t>261,630</t>
  </si>
  <si>
    <t>26,941</t>
  </si>
  <si>
    <t>Total</t>
  </si>
  <si>
    <t>452,558</t>
  </si>
  <si>
    <t>212,451</t>
  </si>
  <si>
    <t>94,535</t>
  </si>
  <si>
    <t>38,995</t>
  </si>
  <si>
    <t>6,804</t>
  </si>
  <si>
    <t>704,004</t>
  </si>
  <si>
    <t>101,339</t>
  </si>
  <si>
    <t>666,410</t>
  </si>
  <si>
    <t>(101,339)</t>
  </si>
  <si>
    <t>EASYHOME (Dec 31, 2023)</t>
  </si>
  <si>
    <t>853,228</t>
  </si>
  <si>
    <t>220,363</t>
  </si>
  <si>
    <t>23,226</t>
  </si>
  <si>
    <t>327,196</t>
  </si>
  <si>
    <t>197,358</t>
  </si>
  <si>
    <t>88,613</t>
  </si>
  <si>
    <t>37,747</t>
  </si>
  <si>
    <t>6,325</t>
  </si>
  <si>
    <t>562,301</t>
  </si>
  <si>
    <t>94,938</t>
  </si>
  <si>
    <t>534,516</t>
  </si>
  <si>
    <t>(94,938)</t>
  </si>
  <si>
    <t>($ IN 000’S, EXCEPT FOR RATIOS)</t>
  </si>
  <si>
    <t>Accounts receivable</t>
  </si>
  <si>
    <t>Prepaid expenses</t>
  </si>
  <si>
    <t>Investments</t>
  </si>
  <si>
    <t>Derivative financial assets</t>
  </si>
  <si>
    <t>Property and equipment, net</t>
  </si>
  <si>
    <t>Right-of-use assets, net</t>
  </si>
  <si>
    <t>Intangible assets, net</t>
  </si>
  <si>
    <t>Goodwill</t>
  </si>
  <si>
    <t>External debt</t>
  </si>
  <si>
    <t>Accounts payable and other liabilities</t>
  </si>
  <si>
    <t>Income taxes payable</t>
  </si>
  <si>
    <t>Dividends payable</t>
  </si>
  <si>
    <t>Unearned revenue</t>
  </si>
  <si>
    <t>Accrued interest payable</t>
  </si>
  <si>
    <t>Deferred income tax liabilities, net</t>
  </si>
  <si>
    <t>Lease liabilities</t>
  </si>
  <si>
    <t>Derivative financial liabilities</t>
  </si>
  <si>
    <t>Total capitalization (external debt plus total shareholders’ equity)</t>
  </si>
  <si>
    <t>Capital management measures</t>
  </si>
  <si>
    <t>External debt to shareholders’ equity^{1}</t>
  </si>
  <si>
    <t>Net debt to net capitalization^{2}</t>
  </si>
  <si>
    <t>Diluted Earnings per share</t>
  </si>
  <si>
    <t xml:space="preserve">                            N </t>
  </si>
  <si>
    <t xml:space="preserve"> </t>
  </si>
  <si>
    <t>(in $000s except per share amounts,
store counts, employee counts,
percentages and ratios)</t>
  </si>
  <si>
    <t>2022</t>
  </si>
  <si>
    <t>External debt3</t>
  </si>
  <si>
    <t>7.10%</t>
  </si>
  <si>
    <t>33.10%</t>
  </si>
  <si>
    <t>Adjusted operating margin1</t>
  </si>
  <si>
    <t>Efficiency ratio1,4</t>
  </si>
  <si>
    <t>Adjusted net income2</t>
  </si>
  <si>
    <t>Input</t>
  </si>
  <si>
    <t>Value</t>
  </si>
  <si>
    <t>Source / Rationale</t>
  </si>
  <si>
    <t>Risk-Free Rate</t>
  </si>
  <si>
    <t>Equity Risk Premium</t>
  </si>
  <si>
    <t>Beta</t>
  </si>
  <si>
    <t>Cost of Equity (Ke​)</t>
  </si>
  <si>
    <t>Target ROE</t>
  </si>
  <si>
    <t>Growth Rate (g)</t>
  </si>
  <si>
    <t>Long-term terminal growth rate</t>
  </si>
  <si>
    <t>Metric (in $000s)</t>
  </si>
  <si>
    <t>2024 (A)</t>
  </si>
  <si>
    <t>2025 (E)</t>
  </si>
  <si>
    <t>2026 (E)</t>
  </si>
  <si>
    <t>2027 (E)</t>
  </si>
  <si>
    <t>Beginning Equity</t>
  </si>
  <si>
    <t>Net Income (23.5% ROE)</t>
  </si>
  <si>
    <t>Equity Charge (10.1%)</t>
  </si>
  <si>
    <t>Residual Income</t>
  </si>
  <si>
    <t>Discount Factor</t>
  </si>
  <si>
    <t>PV of Residual Income</t>
  </si>
  <si>
    <t>Component</t>
  </si>
  <si>
    <t>Amount (in $000s)</t>
  </si>
  <si>
    <t>Sum of PV of Residual Income (2025-2027)</t>
  </si>
  <si>
    <t>PV of Terminal Value</t>
  </si>
  <si>
    <t>Total Value of Equity Premiums</t>
  </si>
  <si>
    <t>(+) Current Book Value (End of 2024)</t>
  </si>
  <si>
    <t>Total Intrinsic Value</t>
  </si>
  <si>
    <t>Shares Outstanding</t>
  </si>
  <si>
    <t>Intrinsic Value Per Share</t>
  </si>
  <si>
    <t xml:space="preserve">              = {245,474 * 1.04} / {0.101 - 0.04} = $4,185,123</t>
  </si>
  <si>
    <t>Terminal Residual Income = {RI_{2027} * (1 + g)} / {Ke - g}</t>
  </si>
  <si>
    <t>PV of Terminal Value: $4,185,123 * 0.749 = $3,134,657</t>
  </si>
  <si>
    <t>Approx. 10-Year Government Bond Yield.
This is the yeild you would get from safe investments.</t>
  </si>
  <si>
    <t xml:space="preserve">Standard market premium. The extra returns 
an investor would want on their risky stocks. </t>
  </si>
  <si>
    <t>Estimated for a high-growth consumer lender. It is a measure of volatility.</t>
  </si>
  <si>
    <t>3.5%+(1.2×5.5%). We can infer that Goeasy 
must earn greater than or equal to 10.10% to 
get good value.</t>
  </si>
  <si>
    <t>Mid-point of 2025-2027 guidance (23%+). As 
per the GoEasy annual report.</t>
  </si>
  <si>
    <t>I took the Equity and multiplied it by the 23.5% ROE target.</t>
  </si>
  <si>
    <t>Residual Income = Net Income - Equity. It represents the profit the company makes
 after satisfying its investors' minimum requirements.</t>
  </si>
  <si>
    <t>I calculated what the "required" return was (Equity * 10.1% Cost of Equity).</t>
  </si>
  <si>
    <t>To get the final "Intrinsic Value," I added three things:</t>
  </si>
  <si>
    <t>2. + The present value of the next 3 years of Excess Returns.</t>
  </si>
  <si>
    <t>3. + The present value of the Terminal Value.</t>
  </si>
  <si>
    <t>1. The current Book Value ($1.2B)</t>
  </si>
  <si>
    <t>This gave us a total company value of roughly $4.83 Billion. When divided by the 17.37 Million shares, the result was $278.11 per share.</t>
  </si>
  <si>
    <t># Conclusion: Based on the company's guidance of maintaining an ROE 
above 23% and significantly growing the loan book to over $7 Billion by
 2027, the stock is currently trading at a significant discount to its intrinsic
 value, provided they hit those growth targets without a spike in net charge-offs. The reason the model shows a high value ($278) compared to the current price ($175–$180) is simple: ROE vs. Cost of Equity. If a company can consistently earn 23.5% on its money while investors only "require" 10.1%, that company is a massive wealth-creation engine. The market price currently suggests that investors are skeptical that goeasy can maintain such a high ROE forever or are worried about potential loan losses if the economy weakens.</t>
  </si>
  <si>
    <t>GoEasy Firm Introduction:</t>
  </si>
  <si>
    <t>GoEasy is a Canadian financial services company that focuses on helping people who may not qualify for traditional credit. Through its brands like easyfinancial, easyhome, and LendCare offers everything from personal loans to lease‑to‑own furniture, appliances, and point‑of‑sale financing. Since its start in 1990, the company has grown into one of Canada’s leading alternative lenders. As of September 30, 2025, GoEasy managed a consumer loan portfolio of $5.44 billion and reported $440 million in revenue for the quarter. Its mission is to support individuals with challenged credit by  giving them access to financial products that can help rebuild their credit and improve their overall financial well‑being.</t>
  </si>
  <si>
    <t>Name</t>
  </si>
  <si>
    <t>Content</t>
  </si>
  <si>
    <t>Financials</t>
  </si>
  <si>
    <t>Market Data</t>
  </si>
  <si>
    <t>Valuation</t>
  </si>
  <si>
    <t>Inputs</t>
  </si>
  <si>
    <t>Residual Income Valuation</t>
  </si>
  <si>
    <t>Valuation Summary</t>
  </si>
  <si>
    <t>Shares outstanding</t>
  </si>
  <si>
    <t>Financial Metrics</t>
  </si>
  <si>
    <t>Income statement 2023</t>
  </si>
  <si>
    <t>Income statement 2024</t>
  </si>
  <si>
    <t>Financial Summary (1)</t>
  </si>
  <si>
    <t>Projected ROE</t>
  </si>
  <si>
    <t>Bad Debts</t>
  </si>
  <si>
    <t>Financial Summary (2)</t>
  </si>
  <si>
    <t>Previous ROE</t>
  </si>
  <si>
    <t>Provides the historical financial data needed to understand GoEasy’s performance over the past five years, including net income, equity, ROE, and book value per share.</t>
  </si>
  <si>
    <t>Shows how the market has valued GoEasy over time by tracking average share prices and valuation multiples such as P/E and P/B.</t>
  </si>
  <si>
    <t>Uses historical earnings and book value to estimate GoEasy’s implied share price based on assumed valuation multiples.</t>
  </si>
  <si>
    <t>Lists the key assumptions used in the valuation model, such as the risk‑free rate, beta, cost of equity, growth rate, and target ROE.</t>
  </si>
  <si>
    <t>Calculates the company’s future excess returns (Residual Income) and discounts them to determine GoEasy’s intrinsic value.</t>
  </si>
  <si>
    <t>Summarizes the final valuation results, including the present value of residual income, terminal value, and intrinsic value per share.</t>
  </si>
  <si>
    <t>Breaks down GoEasy’s income statement, balance sheet, and key financial metrics for multiple years to show trends in profitability and growth.</t>
  </si>
  <si>
    <t>Shows the number of diluted shares used in valuation calculations such as EPS and intrinsic value per share.</t>
  </si>
  <si>
    <t>Provides deeper performance ratios like ROA, ROE, return on receivables, margins, and adjusted profitability measures.</t>
  </si>
  <si>
    <t>Gives a detailed breakdown of GoEasy’s 2023 revenue, expenses, and segment performance.</t>
  </si>
  <si>
    <t>Provides the full 2024 income statement, including segment results and year‑over‑year changes.</t>
  </si>
  <si>
    <t>Compares 2023 vs. 2024 performance, highlighting variances in revenue, expenses, margins, and key KPIs.</t>
  </si>
  <si>
    <t>Shows how GoEasy’s actual 2024 results compared to management’s forecasts, confirming whether targets were met.</t>
  </si>
  <si>
    <t>Outlines management’s expectations for 2025–2027, including loan book growth, revenue, margins, and ROE targets.</t>
  </si>
  <si>
    <t>Breaks down the components of GoEasy’s bad debt expense, including charge‑offs, loan growth impact, and changes in credit loss allowances.</t>
  </si>
  <si>
    <t>No.</t>
  </si>
  <si>
    <t>1. ROE Sensitivity (Impact on Intrinsic Value per Share)</t>
  </si>
  <si>
    <t>Assumes Cost of Equity = 10.1%, g = 4%</t>
  </si>
  <si>
    <t>ROE</t>
  </si>
  <si>
    <t>Intrinsic Value/Share</t>
  </si>
  <si>
    <t>~$225</t>
  </si>
  <si>
    <t>23% (Base Case)</t>
  </si>
  <si>
    <t>~$278</t>
  </si>
  <si>
    <t>~$315</t>
  </si>
  <si>
    <t>~$350</t>
  </si>
  <si>
    <t>*GoEasy’s valuation is highly sensitive to ROE. A 2% drop in ROE reduces intrinsic value by ~20%, reflecting the importance of credit quality and loan growth.</t>
  </si>
  <si>
    <t>2. Net Charge-Off (NCO) Sensitivity</t>
  </si>
  <si>
    <t>Assumes Loan Book ≈ $5.5B in 2025, every 0.5% change in NCO affects net income.</t>
  </si>
  <si>
    <t>NCO Rate</t>
  </si>
  <si>
    <t>Impact on Net Income</t>
  </si>
  <si>
    <t>Revised ROE</t>
  </si>
  <si>
    <t>Revised Value/Share</t>
  </si>
  <si>
    <t>7.75% (Bull)</t>
  </si>
  <si>
    <t>+$20M</t>
  </si>
  <si>
    <t>~25%</t>
  </si>
  <si>
    <t>~$305</t>
  </si>
  <si>
    <t>8.75% (Base)</t>
  </si>
  <si>
    <t>—</t>
  </si>
  <si>
    <t>~23.5%</t>
  </si>
  <si>
    <t>9.75% (Bear)</t>
  </si>
  <si>
    <t>–$30M</t>
  </si>
  <si>
    <t>~21%</t>
  </si>
  <si>
    <t>~$240</t>
  </si>
  <si>
    <t>*A 1% increase in charge-offs can reduce valuation by $35–40 per share, showing how credit losses are the biggest risk factor.</t>
  </si>
  <si>
    <t>3. Cost of Equity (Ke) Sensitivity</t>
  </si>
  <si>
    <t>Assumes ROE = 23.5%, g = 4%</t>
  </si>
  <si>
    <t>~$330</t>
  </si>
  <si>
    <t>10.1% (Base)</t>
  </si>
  <si>
    <t>~$245</t>
  </si>
  <si>
    <t>~$215</t>
  </si>
  <si>
    <t>*Higher interest rates or higher perceived risk materially reduce valuation. A 1% increase in Ke lowers intrinsic value by ~12%.</t>
  </si>
  <si>
    <t>4. Terminal Growth Rate (g) Sensitivity</t>
  </si>
  <si>
    <t>Assumes ROE = 23.5%, Ke = 10.1%</t>
  </si>
  <si>
    <t>~$250</t>
  </si>
  <si>
    <t>4.0% (Base)</t>
  </si>
  <si>
    <t>~$310</t>
  </si>
  <si>
    <t>*GoEasy’s long-term value is moderately sensitive to growth assumptions, but less so than ROE or NCOs.</t>
  </si>
  <si>
    <t>#The valuation is most sensitive to ROE and credit losses, reflecting the nature of GoEasy’s lending business. Even small changes in NCOs or ROE materially impact intrinsic value, while growth assumptions have a more moderate effect. This highlights the importance of credit quality and disciplined underwriting in sustaining long-term shareholder value</t>
  </si>
  <si>
    <t>Cost of Equity (Ke)</t>
  </si>
  <si>
    <t>Sensitivity Analysis</t>
  </si>
  <si>
    <r>
      <t xml:space="preserve">The sensitivity analysis tests how </t>
    </r>
    <r>
      <rPr>
        <b/>
        <sz val="11"/>
        <color theme="1"/>
        <rFont val="Calibri"/>
        <family val="2"/>
        <scheme val="minor"/>
      </rPr>
      <t>goeasy's</t>
    </r>
    <r>
      <rPr>
        <sz val="11"/>
        <color theme="1"/>
        <rFont val="Calibri"/>
        <family val="2"/>
        <scheme val="minor"/>
      </rPr>
      <t xml:space="preserve"> value shifts when key inputs like ROE, credit defaults (net charge-offs), and the cost of equity are changed. By stressing these assumptions, it identifies the primary drivers of the stock's value and highlights the specific risks that could impact your investment thesis.</t>
    </r>
  </si>
  <si>
    <t>All blue cells across model indicate user inputs.</t>
  </si>
  <si>
    <t>Notes</t>
  </si>
  <si>
    <t>Terminal growth conservative and below nominal GDP</t>
  </si>
  <si>
    <t>Cost of equity derived from CAPM-style estimate</t>
  </si>
  <si>
    <t>ROE projections based on historical performance and normalization</t>
  </si>
  <si>
    <t>Key Assumptions</t>
  </si>
  <si>
    <t>Equity valuation using Residual Income Model for goeasy Ltd.</t>
  </si>
  <si>
    <t>Model Purpose</t>
  </si>
  <si>
    <t>OK</t>
  </si>
  <si>
    <t>Assets = Liabilities + Equity (manual review)</t>
  </si>
  <si>
    <t>Balance Sheet Balances</t>
  </si>
  <si>
    <t>Status</t>
  </si>
  <si>
    <t>Formula</t>
  </si>
  <si>
    <t>Check</t>
  </si>
  <si>
    <t>Error Checks</t>
  </si>
  <si>
    <t>Checking for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</si>
</sst>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4" x14ac:knownFonts="1">
    <font>
      <sz val="11"/>
      <color theme="1"/>
      <name val="Calibri"/>
      <family val="2"/>
      <scheme val="minor"/>
    </font>
    <font>
      <sz val="11"/>
      <color theme="1"/>
      <name val="Calibri"/>
      <family val="2"/>
      <scheme val="minor"/>
    </font>
    <font>
      <sz val="11"/>
      <color rgb="FF006100"/>
      <name val="Calibri"/>
      <family val="2"/>
      <scheme val="minor"/>
    </font>
    <font>
      <b/>
      <sz val="11"/>
      <color theme="1"/>
      <name val="Calibri"/>
      <family val="2"/>
      <scheme val="minor"/>
    </font>
    <font>
      <sz val="11"/>
      <color theme="1"/>
      <name val="Arial"/>
      <family val="2"/>
    </font>
    <font>
      <sz val="18"/>
      <color theme="3"/>
      <name val="Cambria"/>
      <family val="2"/>
      <scheme val="major"/>
    </font>
    <font>
      <i/>
      <sz val="11"/>
      <color rgb="FF7F7F7F"/>
      <name val="Calibri"/>
      <family val="2"/>
      <scheme val="minor"/>
    </font>
    <font>
      <u/>
      <sz val="11"/>
      <color theme="10"/>
      <name val="Calibri"/>
      <family val="2"/>
      <scheme val="minor"/>
    </font>
    <font>
      <i/>
      <sz val="11"/>
      <color theme="1"/>
      <name val="Calibri"/>
      <family val="2"/>
      <scheme val="minor"/>
    </font>
    <font>
      <b/>
      <sz val="11"/>
      <color theme="7" tint="-0.249977111117893"/>
      <name val="Calibri"/>
      <family val="2"/>
      <scheme val="minor"/>
    </font>
    <font>
      <b/>
      <i/>
      <sz val="11"/>
      <color theme="7" tint="-0.249977111117893"/>
      <name val="Calibri"/>
      <family val="2"/>
      <scheme val="minor"/>
    </font>
    <font>
      <b/>
      <i/>
      <u/>
      <sz val="11"/>
      <color rgb="FF0070C0"/>
      <name val="Calibri"/>
      <family val="2"/>
      <scheme val="minor"/>
    </font>
    <font>
      <u/>
      <sz val="11"/>
      <color theme="1"/>
      <name val="Calibri"/>
      <family val="2"/>
      <scheme val="minor"/>
    </font>
    <font>
      <b/>
      <sz val="11"/>
      <color theme="3"/>
      <name val="Calibri"/>
      <family val="2"/>
      <scheme val="minor"/>
    </font>
  </fonts>
  <fills count="4">
    <fill>
      <patternFill patternType="none"/>
    </fill>
    <fill>
      <patternFill patternType="gray125"/>
    </fill>
    <fill>
      <patternFill patternType="solid">
        <fgColor rgb="FFC6EFCE"/>
      </patternFill>
    </fill>
    <fill>
      <patternFill patternType="solid">
        <fgColor theme="7" tint="0.79998168889431442"/>
        <bgColor theme="7" tint="0.79998168889431442"/>
      </patternFill>
    </fill>
  </fills>
  <borders count="5">
    <border>
      <left/>
      <right/>
      <top/>
      <bottom/>
      <diagonal/>
    </border>
    <border>
      <left/>
      <right/>
      <top/>
      <bottom style="double">
        <color indexed="64"/>
      </bottom>
      <diagonal/>
    </border>
    <border>
      <left/>
      <right/>
      <top style="thin">
        <color theme="7"/>
      </top>
      <bottom style="thin">
        <color theme="7"/>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7">
    <xf numFmtId="0" fontId="0" fillId="0" borderId="0"/>
    <xf numFmtId="44" fontId="1" fillId="0" borderId="0" applyFont="0" applyFill="0" applyBorder="0" applyAlignment="0" applyProtection="0"/>
    <xf numFmtId="0" fontId="2" fillId="2" borderId="0" applyNumberFormat="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13" fillId="0" borderId="0" applyNumberFormat="0" applyFill="0" applyBorder="0" applyAlignment="0" applyProtection="0"/>
  </cellStyleXfs>
  <cellXfs count="40">
    <xf numFmtId="0" fontId="0" fillId="0" borderId="0" xfId="0"/>
    <xf numFmtId="44" fontId="0" fillId="0" borderId="0" xfId="1" applyFont="1"/>
    <xf numFmtId="10" fontId="0" fillId="0" borderId="0" xfId="0" applyNumberFormat="1"/>
    <xf numFmtId="44" fontId="0" fillId="0" borderId="0" xfId="0" applyNumberFormat="1"/>
    <xf numFmtId="0" fontId="3" fillId="0" borderId="0" xfId="0" applyFont="1"/>
    <xf numFmtId="0" fontId="3" fillId="0" borderId="0" xfId="0" applyFont="1" applyAlignment="1">
      <alignment horizontal="left" vertical="center" indent="1"/>
    </xf>
    <xf numFmtId="4" fontId="0" fillId="0" borderId="0" xfId="0" applyNumberFormat="1"/>
    <xf numFmtId="0" fontId="2" fillId="2" borderId="0" xfId="2"/>
    <xf numFmtId="2" fontId="0" fillId="0" borderId="0" xfId="0" applyNumberFormat="1"/>
    <xf numFmtId="3" fontId="0" fillId="0" borderId="0" xfId="0" applyNumberFormat="1"/>
    <xf numFmtId="8" fontId="0" fillId="0" borderId="0" xfId="0" applyNumberFormat="1"/>
    <xf numFmtId="0" fontId="0" fillId="0" borderId="0" xfId="0" applyAlignment="1">
      <alignment wrapText="1"/>
    </xf>
    <xf numFmtId="0" fontId="4" fillId="0" borderId="0" xfId="0" applyFont="1" applyAlignment="1">
      <alignment vertical="center"/>
    </xf>
    <xf numFmtId="0" fontId="0" fillId="0" borderId="0" xfId="0" applyAlignment="1">
      <alignment vertical="center"/>
    </xf>
    <xf numFmtId="3" fontId="0" fillId="0" borderId="0" xfId="0" applyNumberFormat="1" applyAlignment="1">
      <alignment wrapText="1"/>
    </xf>
    <xf numFmtId="0" fontId="0" fillId="0" borderId="0" xfId="0" applyAlignment="1">
      <alignment horizontal="left" vertical="center" indent="1"/>
    </xf>
    <xf numFmtId="0" fontId="3" fillId="0" borderId="1" xfId="0" applyFont="1" applyBorder="1"/>
    <xf numFmtId="3" fontId="3" fillId="0" borderId="1" xfId="0" applyNumberFormat="1" applyFont="1" applyBorder="1"/>
    <xf numFmtId="8" fontId="3" fillId="0" borderId="1" xfId="0" applyNumberFormat="1" applyFont="1" applyBorder="1"/>
    <xf numFmtId="0" fontId="5" fillId="0" borderId="0" xfId="3"/>
    <xf numFmtId="1" fontId="9" fillId="0" borderId="2" xfId="0" applyNumberFormat="1" applyFont="1" applyBorder="1" applyAlignment="1">
      <alignment horizontal="left"/>
    </xf>
    <xf numFmtId="1" fontId="0" fillId="0" borderId="0" xfId="0" applyNumberFormat="1" applyAlignment="1">
      <alignment horizontal="left"/>
    </xf>
    <xf numFmtId="1" fontId="10" fillId="3" borderId="0" xfId="0" applyNumberFormat="1" applyFont="1" applyFill="1" applyAlignment="1">
      <alignment horizontal="left"/>
    </xf>
    <xf numFmtId="1" fontId="10" fillId="0" borderId="0" xfId="0" applyNumberFormat="1" applyFont="1" applyAlignment="1">
      <alignment horizontal="left"/>
    </xf>
    <xf numFmtId="0" fontId="11" fillId="0" borderId="0" xfId="5" applyFont="1"/>
    <xf numFmtId="0" fontId="12" fillId="0" borderId="0" xfId="5" applyFont="1"/>
    <xf numFmtId="0" fontId="0" fillId="0" borderId="0" xfId="0" applyAlignment="1">
      <alignment vertical="center" wrapText="1"/>
    </xf>
    <xf numFmtId="0" fontId="3" fillId="0" borderId="0" xfId="0" applyFont="1" applyAlignment="1">
      <alignment horizontal="center" vertical="center" wrapText="1"/>
    </xf>
    <xf numFmtId="9" fontId="3" fillId="0" borderId="0" xfId="0" applyNumberFormat="1" applyFont="1" applyAlignment="1">
      <alignment vertical="center" wrapText="1"/>
    </xf>
    <xf numFmtId="0" fontId="3" fillId="0" borderId="0" xfId="0" applyFont="1" applyAlignment="1">
      <alignment vertical="center" wrapText="1"/>
    </xf>
    <xf numFmtId="10" fontId="3" fillId="0" borderId="0" xfId="0" applyNumberFormat="1" applyFont="1" applyAlignment="1">
      <alignment vertical="center" wrapText="1"/>
    </xf>
    <xf numFmtId="0" fontId="13" fillId="0" borderId="0" xfId="6" applyAlignment="1">
      <alignment vertical="center" wrapText="1"/>
    </xf>
    <xf numFmtId="10" fontId="3" fillId="0" borderId="0" xfId="0" applyNumberFormat="1" applyFont="1" applyAlignment="1">
      <alignment horizontal="right" vertical="center" wrapText="1"/>
    </xf>
    <xf numFmtId="0" fontId="0" fillId="0" borderId="0" xfId="0" applyAlignment="1">
      <alignment horizontal="right" vertical="center" wrapText="1"/>
    </xf>
    <xf numFmtId="0" fontId="3" fillId="0" borderId="0" xfId="0" applyFont="1" applyAlignment="1">
      <alignment horizontal="right" vertical="center" wrapText="1"/>
    </xf>
    <xf numFmtId="0" fontId="12" fillId="0" borderId="0" xfId="0" applyFont="1"/>
    <xf numFmtId="1" fontId="10" fillId="3" borderId="3" xfId="0" applyNumberFormat="1" applyFont="1" applyFill="1" applyBorder="1" applyAlignment="1">
      <alignment horizontal="left"/>
    </xf>
    <xf numFmtId="0" fontId="12" fillId="0" borderId="3" xfId="5" applyFont="1" applyBorder="1"/>
    <xf numFmtId="0" fontId="0" fillId="0" borderId="3" xfId="0" applyBorder="1" applyAlignment="1">
      <alignment wrapText="1"/>
    </xf>
    <xf numFmtId="0" fontId="8" fillId="0" borderId="4" xfId="4" applyFont="1" applyBorder="1" applyAlignment="1">
      <alignment wrapText="1"/>
    </xf>
  </cellXfs>
  <cellStyles count="7">
    <cellStyle name="Currency" xfId="1" builtinId="4"/>
    <cellStyle name="Explanatory Text" xfId="4" builtinId="53"/>
    <cellStyle name="Good" xfId="2" builtinId="26"/>
    <cellStyle name="Heading 4" xfId="6" builtinId="19"/>
    <cellStyle name="Hyperlink" xfId="5" builtinId="8"/>
    <cellStyle name="Normal" xfId="0" builtinId="0"/>
    <cellStyle name="Title" xfId="3" builtinId="15"/>
  </cellStyles>
  <dxfs count="4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righ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righ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numFmt numFmtId="14" formatCode="0.00%"/>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numFmt numFmtId="13" formatCode="0%"/>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3" formatCode="#,##0"/>
    </dxf>
    <dxf>
      <numFmt numFmtId="3" formatCode="#,##0"/>
    </dxf>
    <dxf>
      <numFmt numFmtId="3" formatCode="#,##0"/>
    </dxf>
    <dxf>
      <numFmt numFmtId="3" formatCode="#,##0"/>
    </dxf>
    <dxf>
      <numFmt numFmtId="3" formatCode="#,##0"/>
    </dxf>
    <dxf>
      <numFmt numFmtId="14" formatCode="0.00%"/>
    </dxf>
    <dxf>
      <numFmt numFmtId="0" formatCode="General"/>
    </dxf>
    <dxf>
      <numFmt numFmtId="34" formatCode="_-&quot;$&quot;* #,##0.00_-;\-&quot;$&quot;* #,##0.00_-;_-&quot;$&quot;* &quot;-&quot;??_-;_-@_-"/>
    </dxf>
    <dxf>
      <numFmt numFmtId="4"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457200</xdr:colOff>
      <xdr:row>22</xdr:row>
      <xdr:rowOff>107950</xdr:rowOff>
    </xdr:to>
    <xdr:pic>
      <xdr:nvPicPr>
        <xdr:cNvPr id="2" name="Picture 1">
          <a:extLst>
            <a:ext uri="{FF2B5EF4-FFF2-40B4-BE49-F238E27FC236}">
              <a16:creationId xmlns:a16="http://schemas.microsoft.com/office/drawing/2014/main" id="{968106B6-5BE2-BA72-C458-4B866EEA792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943600" cy="4131310"/>
        </a:xfrm>
        <a:prstGeom prst="rect">
          <a:avLst/>
        </a:prstGeom>
      </xdr:spPr>
    </xdr:pic>
    <xdr:clientData/>
  </xdr:twoCellAnchor>
  <xdr:twoCellAnchor editAs="oneCell">
    <xdr:from>
      <xdr:col>11</xdr:col>
      <xdr:colOff>0</xdr:colOff>
      <xdr:row>0</xdr:row>
      <xdr:rowOff>0</xdr:rowOff>
    </xdr:from>
    <xdr:to>
      <xdr:col>20</xdr:col>
      <xdr:colOff>457200</xdr:colOff>
      <xdr:row>23</xdr:row>
      <xdr:rowOff>32385</xdr:rowOff>
    </xdr:to>
    <xdr:pic>
      <xdr:nvPicPr>
        <xdr:cNvPr id="3" name="Picture 2">
          <a:extLst>
            <a:ext uri="{FF2B5EF4-FFF2-40B4-BE49-F238E27FC236}">
              <a16:creationId xmlns:a16="http://schemas.microsoft.com/office/drawing/2014/main" id="{4AC8F100-232E-5380-DA0A-96BEF6B8F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705600" y="0"/>
          <a:ext cx="5943600" cy="4238625"/>
        </a:xfrm>
        <a:prstGeom prst="rect">
          <a:avLst/>
        </a:prstGeom>
      </xdr:spPr>
    </xdr:pic>
    <xdr:clientData/>
  </xdr:twoCellAnchor>
  <xdr:twoCellAnchor editAs="oneCell">
    <xdr:from>
      <xdr:col>22</xdr:col>
      <xdr:colOff>0</xdr:colOff>
      <xdr:row>0</xdr:row>
      <xdr:rowOff>0</xdr:rowOff>
    </xdr:from>
    <xdr:to>
      <xdr:col>31</xdr:col>
      <xdr:colOff>457200</xdr:colOff>
      <xdr:row>16</xdr:row>
      <xdr:rowOff>142240</xdr:rowOff>
    </xdr:to>
    <xdr:pic>
      <xdr:nvPicPr>
        <xdr:cNvPr id="4" name="Picture 3">
          <a:extLst>
            <a:ext uri="{FF2B5EF4-FFF2-40B4-BE49-F238E27FC236}">
              <a16:creationId xmlns:a16="http://schemas.microsoft.com/office/drawing/2014/main" id="{14AAC9F8-BFBA-4FB5-B81E-5F5EE4534A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411200" y="0"/>
          <a:ext cx="5943600" cy="306832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9EC3628E-B10C-48AA-B4A1-AD6287128717}" autoFormatId="16" applyNumberFormats="0" applyBorderFormats="0" applyFontFormats="0" applyPatternFormats="0" applyAlignmentFormats="0" applyWidthHeightFormats="0">
  <queryTableRefresh nextId="7">
    <queryTableFields count="6">
      <queryTableField id="1" name="(in $000s except per share amounts,_x000a_store counts, employee counts,_x000a_percentages and ratios)" tableColumnId="1"/>
      <queryTableField id="2" name="2024" tableColumnId="2"/>
      <queryTableField id="3" name="2023" tableColumnId="3"/>
      <queryTableField id="4" name="2022" tableColumnId="4"/>
      <queryTableField id="5" name="2021" tableColumnId="5"/>
      <queryTableField id="6" name="2020"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5" connectionId="2" xr16:uid="{D9A03241-049A-4CDE-B7D8-A74221081002}" autoFormatId="16" applyNumberFormats="0" applyBorderFormats="0" applyFontFormats="0" applyPatternFormats="0" applyAlignmentFormats="0" applyWidthHeightFormats="0">
  <queryTableRefresh nextId="4">
    <queryTableFields count="3">
      <queryTableField id="1" name="($ IN 000’S, EXCEPT FOR RATIOS)" tableColumnId="1"/>
      <queryTableField id="2" name="DECEMBER 31, 2024" tableColumnId="2"/>
      <queryTableField id="3" name="DECEMBER 31, 2023"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8" connectionId="3" xr16:uid="{B6F1BC27-BBB8-45FD-95FD-30E4143F4627}" autoFormatId="16" applyNumberFormats="0" applyBorderFormats="0" applyFontFormats="0" applyPatternFormats="0" applyAlignmentFormats="0" applyWidthHeightFormats="0">
  <queryTableRefresh nextId="7">
    <queryTableFields count="6">
      <queryTableField id="1" name="($ IN 000’S EXCEPT PERCENTAGES AND PER SHARE AMOUNTS)" tableColumnId="1"/>
      <queryTableField id="2" name="2024^{3}" tableColumnId="2"/>
      <queryTableField id="3" name="2023^{3}" tableColumnId="3"/>
      <queryTableField id="4" name="2022^{3}" tableColumnId="4"/>
      <queryTableField id="5" name="2021^{3}" tableColumnId="5"/>
      <queryTableField id="6" name="2020"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6" connectionId="6" xr16:uid="{E481763B-546C-4AC0-84A9-B6F68D1C8CF0}" autoFormatId="16" applyNumberFormats="0" applyBorderFormats="0" applyFontFormats="0" applyPatternFormats="0" applyAlignmentFormats="0" applyWidthHeightFormats="0">
  <queryTableRefresh nextId="6">
    <queryTableFields count="5">
      <queryTableField id="1" name="($ IN 000'S EXCEPT EARNINGS PER SHARE)" tableColumnId="1"/>
      <queryTableField id="2" name="EASYFINANCIAL" tableColumnId="2"/>
      <queryTableField id="3" name="EASYHOME (Dec 31, 2023)" tableColumnId="3"/>
      <queryTableField id="4" name="CORPORATE" tableColumnId="4"/>
      <queryTableField id="5" name="TOTAL"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7" xr16:uid="{E657D63C-55F4-4080-A612-C24BD08AA5FF}" autoFormatId="16" applyNumberFormats="0" applyBorderFormats="0" applyFontFormats="0" applyPatternFormats="0" applyAlignmentFormats="0" applyWidthHeightFormats="0">
  <queryTableRefresh nextId="6">
    <queryTableFields count="5">
      <queryTableField id="1" name="($ IN 000'S EXCEPT EARNINGS PER SHARE)" tableColumnId="1"/>
      <queryTableField id="2" name="EASYFINANCIAL" tableColumnId="2"/>
      <queryTableField id="3" name="EASYHOME (Dec 31, 2024)" tableColumnId="3"/>
      <queryTableField id="4" name="CORPORATE" tableColumnId="4"/>
      <queryTableField id="5" name="TOTAL"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4" connectionId="4" xr16:uid="{AE7A27F8-BA2F-42C6-B472-89FBA066E005}" autoFormatId="16" applyNumberFormats="0" applyBorderFormats="0" applyFontFormats="0" applyPatternFormats="0" applyAlignmentFormats="0" applyWidthHeightFormats="0">
  <queryTableRefresh nextId="6">
    <queryTableFields count="5">
      <queryTableField id="1" name="Column1" tableColumnId="1"/>
      <queryTableField id="2" name="YEAR" tableColumnId="2"/>
      <queryTableField id="3" name="ENDED" tableColumnId="3"/>
      <queryTableField id="4" name="Column4" tableColumnId="4"/>
      <queryTableField id="5" name="Column5" tableColumnId="5"/>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8" xr16:uid="{252C2750-7783-4F5D-9BFE-62330F918096}" autoFormatId="16" applyNumberFormats="0" applyBorderFormats="0" applyFontFormats="0" applyPatternFormats="0" applyAlignmentFormats="0" applyWidthHeightFormats="0">
  <queryTableRefresh nextId="5">
    <queryTableFields count="4">
      <queryTableField id="1" name="Column1" tableColumnId="1"/>
      <queryTableField id="2" name="ACTUAL RESULTS_x000a_FOR 2024" tableColumnId="2"/>
      <queryTableField id="3" name="UPDATED FORECASTS_x000a_FOR 2024" tableColumnId="3"/>
      <queryTableField id="4" name="OUTCOME" tableColumnId="4"/>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3" connectionId="9" xr16:uid="{4F45BFA3-1D10-4BFB-B70F-83C44D8C530E}" autoFormatId="16" applyNumberFormats="0" applyBorderFormats="0" applyFontFormats="0" applyPatternFormats="0" applyAlignmentFormats="0" applyWidthHeightFormats="0">
  <queryTableRefresh nextId="5">
    <queryTableFields count="4">
      <queryTableField id="1" name="Column1" tableColumnId="1"/>
      <queryTableField id="2" name="FORECASTS_x000a_FOR 2025" tableColumnId="2"/>
      <queryTableField id="3" name="FORECASTS_x000a_FOR 2026" tableColumnId="3"/>
      <queryTableField id="4" name="FORECASTS_x000a_FOR 2027" tableColumnId="4"/>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7" connectionId="1" xr16:uid="{254EC61F-9850-4FD5-A36C-F3CEE53882E8}" autoFormatId="16" applyNumberFormats="0" applyBorderFormats="0" applyFontFormats="0" applyPatternFormats="0" applyAlignmentFormats="0" applyWidthHeightFormats="0">
  <queryTableRefresh nextId="4">
    <queryTableFields count="3">
      <queryTableField id="1" name="($ IN 000’S)" tableColumnId="1"/>
      <queryTableField id="2" name="DECEMBER 31, 2024" tableColumnId="2"/>
      <queryTableField id="3" name="DECEMBER 31, 2023" tableColumnId="3"/>
    </queryTableFields>
  </queryTableRefresh>
</queryTable>
</file>

<file path=xl/tables/_rels/table1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57656CD-8F69-4252-9D81-4FA3A3E082BA}" name="Table9" displayName="Table9" ref="B1:C18" totalsRowShown="0">
  <autoFilter ref="B1:C18" xr:uid="{457656CD-8F69-4252-9D81-4FA3A3E082BA}"/>
  <tableColumns count="2">
    <tableColumn id="1" xr3:uid="{5B607437-E6F1-4E34-B493-EB6195884711}" name="Name"/>
    <tableColumn id="2" xr3:uid="{0EF1FADB-2670-4E84-8AC3-46A46B4C3FF9}" name="Content"/>
  </tableColumns>
  <tableStyleInfo name="TableStyleLight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611286-25AA-4E31-BF7C-59FD51506091}" name="Financial_no." displayName="Financial_no." ref="A1:G6" totalsRowShown="0">
  <autoFilter ref="A1:G6" xr:uid="{AE611286-25AA-4E31-BF7C-59FD51506091}"/>
  <tableColumns count="7">
    <tableColumn id="1" xr3:uid="{CF1A1799-0AA9-421F-8D2F-CE0E6D3E355C}" name="Year"/>
    <tableColumn id="2" xr3:uid="{0DF2642D-929F-4CE0-976E-E03326237C2C}" name="Net Income " dataCellStyle="Currency"/>
    <tableColumn id="3" xr3:uid="{70C2C128-CC9D-40F5-A13B-0CE89ADF0E88}" name="Diluted EPS " dataCellStyle="Currency"/>
    <tableColumn id="4" xr3:uid="{3DB84A96-21FF-41A2-A940-C6998D3F7D92}" name="Equity " dataCellStyle="Currency"/>
    <tableColumn id="5" xr3:uid="{3669BB4B-6496-44B3-9108-70A7D844684B}" name="Shares Outstanding " dataDxfId="48"/>
    <tableColumn id="6" xr3:uid="{B797F2E5-8D3E-4BB6-98AB-FC92D6BC18B2}" name="BVPS " dataDxfId="47" dataCellStyle="Currency">
      <calculatedColumnFormula>Financial_no.[[#This Row],[Equity ]]/Financial_no.[[#This Row],[Shares Outstanding ]]</calculatedColumnFormula>
    </tableColumn>
    <tableColumn id="7" xr3:uid="{492C0C1B-9CAC-4FFF-A4CF-28AD73D04FAC}" name="ROE (%)" dataDxfId="46"/>
  </tableColumns>
  <tableStyleInfo name="TableStyleLight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1EAF06-A2A2-41C9-9A8E-9E720C176B6B}" name="Market_Data" displayName="Market_Data" ref="A1:D6" totalsRowShown="0">
  <autoFilter ref="A1:D6" xr:uid="{E71EAF06-A2A2-41C9-9A8E-9E720C176B6B}"/>
  <tableColumns count="4">
    <tableColumn id="1" xr3:uid="{0A963461-4B9F-4A22-ABD5-A241B87473A5}" name="Year"/>
    <tableColumn id="2" xr3:uid="{2BEFB695-B1D8-44B6-A4A1-C97E2B8151DF}" name="Avg Share Price " dataCellStyle="Currency"/>
    <tableColumn id="3" xr3:uid="{31AA4662-EA51-429F-91AD-B9C2E9F69974}" name="P/E">
      <calculatedColumnFormula>B2/Financials!C2</calculatedColumnFormula>
    </tableColumn>
    <tableColumn id="4" xr3:uid="{0A4D1A0A-E4A0-47B3-AE6A-7B0D0EABA7F6}" name="P/B">
      <calculatedColumnFormula>B2/Financials!F2</calculatedColumnFormula>
    </tableColumn>
  </tableColumns>
  <tableStyleInfo name="TableStyleLight2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6C1D5A1F-388D-476B-B79C-C098DFC6FDA9}" name="Valuation" displayName="Valuation" ref="A4:E9" totalsRowShown="0">
  <autoFilter ref="A4:E9" xr:uid="{6C1D5A1F-388D-476B-B79C-C098DFC6FDA9}"/>
  <tableColumns count="5">
    <tableColumn id="1" xr3:uid="{67BE8CC9-8009-4A7A-A39E-0C3D43EC92D2}" name="Year">
      <calculatedColumnFormula>Financials!A2</calculatedColumnFormula>
    </tableColumn>
    <tableColumn id="2" xr3:uid="{AE3B2E8C-1E3A-4C92-B247-9BE903972B48}" name="EPS">
      <calculatedColumnFormula>Financials!C2</calculatedColumnFormula>
    </tableColumn>
    <tableColumn id="3" xr3:uid="{CDF3C174-44A8-479F-A9C8-B0285D6A3C6A}" name="Implied Price (P/E)"/>
    <tableColumn id="4" xr3:uid="{2AD2E20B-4DC4-42FC-8803-7716F6EB7C75}" name="BVPS">
      <calculatedColumnFormula>Financials!F2</calculatedColumnFormula>
    </tableColumn>
    <tableColumn id="5" xr3:uid="{2C13A9EF-5176-4D46-A1C2-C75800607EDC}" name="Implied Price (P/B)"/>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A86270F-89DD-4CF5-8FB9-E27B30E3F9F1}" name="Table3" displayName="Table3" ref="A1:C7" totalsRowShown="0">
  <autoFilter ref="A1:C7" xr:uid="{9A86270F-89DD-4CF5-8FB9-E27B30E3F9F1}"/>
  <tableColumns count="3">
    <tableColumn id="1" xr3:uid="{0D34F1C4-0901-4409-BF8E-CCF3CE4A7928}" name="Input"/>
    <tableColumn id="2" xr3:uid="{82D79827-05BB-493D-B94C-E09F4AB027CA}" name="Value" dataDxfId="45"/>
    <tableColumn id="3" xr3:uid="{7F7F1ADC-91D6-4193-8031-9FD812B1F188}" name="Source / Rationale"/>
  </tableColumns>
  <tableStyleInfo name="TableStyleLight2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E96DB65-7074-45E5-9062-B78D95E1E198}" name="Table4" displayName="Table4" ref="A1:F7" totalsRowShown="0">
  <autoFilter ref="A1:F7" xr:uid="{5E96DB65-7074-45E5-9062-B78D95E1E198}"/>
  <tableColumns count="6">
    <tableColumn id="1" xr3:uid="{A60DD1BA-3B7E-4400-878A-EB941A6AA246}" name="Metric (in $000s)"/>
    <tableColumn id="2" xr3:uid="{F7D73077-4C86-4A7C-BE15-E3374F84A5E9}" name="2024 (A)"/>
    <tableColumn id="3" xr3:uid="{DB09A2CC-C376-4A34-B6D1-377AD2CD18DA}" name="2025 (E)" dataDxfId="44"/>
    <tableColumn id="4" xr3:uid="{8C74B3E1-9C4F-4D58-8B53-2F0B402AC427}" name="2026 (E)" dataDxfId="43"/>
    <tableColumn id="5" xr3:uid="{C8CCAC72-888B-4230-8FC8-F9F076368C18}" name="2027 (E)" dataDxfId="42"/>
    <tableColumn id="6" xr3:uid="{4BFCA036-C9F1-4C61-AE9E-526F4B3A1E87}" name="Source / Rationale" dataDxfId="41"/>
  </tableColumns>
  <tableStyleInfo name="TableStyleLight2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764CD86-961B-4048-AA7F-A1224CB1F55B}" name="Table7" displayName="Table7" ref="A1:B8" totalsRowShown="0">
  <autoFilter ref="A1:B8" xr:uid="{B764CD86-961B-4048-AA7F-A1224CB1F55B}"/>
  <tableColumns count="2">
    <tableColumn id="1" xr3:uid="{DC0B1386-3ECB-441C-BEC8-CBFC34A08900}" name="Component"/>
    <tableColumn id="2" xr3:uid="{10AD6A6B-582E-4F83-90F8-2AAE254E12B8}" name="Amount (in $000s)" dataDxfId="40"/>
  </tableColumns>
  <tableStyleInfo name="TableStyleMedium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AA2D124-2B6A-4426-9CB5-8CC8B8AA3ECD}" name="Table8" displayName="Table8" ref="A5:B9" totalsRowShown="0" headerRowDxfId="39">
  <autoFilter ref="A5:B9" xr:uid="{4AA2D124-2B6A-4426-9CB5-8CC8B8AA3ECD}"/>
  <tableColumns count="2">
    <tableColumn id="1" xr3:uid="{D9CF656D-C36B-49AF-A13E-CD3DF8BD8D11}" name="ROE" dataDxfId="38"/>
    <tableColumn id="2" xr3:uid="{A3ECD34F-732B-400F-B97E-6E31259979BE}" name="Intrinsic Value/Share" dataDxfId="37"/>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5B1EA73-2A79-48C6-817E-9D9BE5E150D9}" name="Table10" displayName="Table10" ref="A18:D21" totalsRowShown="0" headerRowDxfId="36" dataDxfId="35">
  <autoFilter ref="A18:D21" xr:uid="{A5B1EA73-2A79-48C6-817E-9D9BE5E150D9}"/>
  <tableColumns count="4">
    <tableColumn id="1" xr3:uid="{B4E07013-66B4-4365-992B-DD835C0F8062}" name="NCO Rate" dataDxfId="34"/>
    <tableColumn id="2" xr3:uid="{279EAE56-A007-46DD-A278-EC7FB41BA3D3}" name="Impact on Net Income" dataDxfId="33"/>
    <tableColumn id="3" xr3:uid="{EC1A8452-4AC2-42D8-A041-EE054A63BF61}" name="Revised ROE" dataDxfId="32"/>
    <tableColumn id="4" xr3:uid="{DAB8BD0F-8BDA-4BF3-A6CC-90108F0DB636}" name="Revised Value/Share" dataDxfId="31"/>
  </tableColumns>
  <tableStyleInfo name="TableStyleLight10"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2B489FB-AFF0-4F3E-9EB4-DF87A8F2A9AB}" name="Table11" displayName="Table11" ref="A29:B33" totalsRowShown="0" headerRowDxfId="30">
  <autoFilter ref="A29:B33" xr:uid="{02B489FB-AFF0-4F3E-9EB4-DF87A8F2A9AB}"/>
  <tableColumns count="2">
    <tableColumn id="1" xr3:uid="{52096462-F897-4C5F-B8A1-8B9CB17EA4B4}" name="Cost of Equity (Ke)" dataDxfId="29"/>
    <tableColumn id="2" xr3:uid="{70151352-768E-4F0A-8D3D-AF323AFBC557}" name="Intrinsic Value/Share" dataDxfId="28"/>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74C55A2-171F-4E82-A59D-4841B5736F38}" name="Table12" displayName="Table12" ref="A41:B44" totalsRowShown="0" headerRowDxfId="27">
  <autoFilter ref="A41:B44" xr:uid="{874C55A2-171F-4E82-A59D-4841B5736F38}"/>
  <tableColumns count="2">
    <tableColumn id="1" xr3:uid="{37A1CFB2-D337-4741-9727-AFD7C5A33D2F}" name="Growth Rate (g)"/>
    <tableColumn id="2" xr3:uid="{0D75F7F2-7C96-446F-8BEA-19EDCA7C419A}" name="Intrinsic Value/Share" dataDxfId="26"/>
  </tableColumns>
  <tableStyleInfo name="TableStyleLight10"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CF36573C-BD4B-4844-B3E5-23888E86653F}" name="Financial_Summary__A" displayName="Financial_Summary__A" ref="A1:F19" tableType="queryTable" totalsRowShown="0">
  <autoFilter ref="A1:F19" xr:uid="{CF36573C-BD4B-4844-B3E5-23888E86653F}">
    <filterColumn colId="0">
      <filters>
        <filter val="Diluted earnings per share"/>
        <filter val="Net income"/>
        <filter val="Shareholders’ equity"/>
      </filters>
    </filterColumn>
  </autoFilter>
  <tableColumns count="6">
    <tableColumn id="1" xr3:uid="{67F196EF-0C1B-469B-948B-DCA1D842DD39}" uniqueName="1" name="(in $000s except per share amounts,_x000a_store counts, employee counts,_x000a_percentages and ratios)" queryTableFieldId="1" dataDxfId="25"/>
    <tableColumn id="2" xr3:uid="{C81975ED-4C6A-4B0E-ADFC-AC15C4CFAC67}" uniqueName="2" name="2024" queryTableFieldId="2"/>
    <tableColumn id="3" xr3:uid="{D5524C71-7067-420D-8ACA-4963848822BE}" uniqueName="3" name="2023" queryTableFieldId="3"/>
    <tableColumn id="4" xr3:uid="{A4F93839-80B3-433A-AB4C-7B789B47EF97}" uniqueName="4" name="2022" queryTableFieldId="4"/>
    <tableColumn id="5" xr3:uid="{0650A38F-08D2-42FC-B186-C2D9938D7AD0}" uniqueName="5" name="2021" queryTableFieldId="5"/>
    <tableColumn id="6" xr3:uid="{FE0130A8-E30C-4C9F-A5A1-F7B17E41C357}" uniqueName="6" name="2020" queryTableFieldId="6" dataDxfId="24"/>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12D76998-A2F0-4E2A-B589-9F08CBD8EB18}" name="Balance_Sheet_3" displayName="Balance_Sheet_3" ref="A1:C32" tableType="queryTable" totalsRowShown="0">
  <autoFilter ref="A1:C32" xr:uid="{12D76998-A2F0-4E2A-B589-9F08CBD8EB18}">
    <filterColumn colId="0">
      <filters>
        <filter val="Shareholders’ equity"/>
      </filters>
    </filterColumn>
  </autoFilter>
  <tableColumns count="3">
    <tableColumn id="1" xr3:uid="{08F977D6-90F2-4C1B-8BD1-EE9EC4494035}" uniqueName="1" name="($ IN 000’S, EXCEPT FOR RATIOS)" queryTableFieldId="1" dataDxfId="23"/>
    <tableColumn id="2" xr3:uid="{004AF24F-1332-4E75-B028-3768E59DDA21}" uniqueName="2" name="DECEMBER 31, 2024" queryTableFieldId="2"/>
    <tableColumn id="3" xr3:uid="{73223416-59E4-406C-B202-579F4419682F}" uniqueName="3" name="DECEMBER 31, 2023" queryTableFieldId="3"/>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BD26DA3-B278-40F9-8FC7-C675FA9284F6}" name="Financial_Metrics" displayName="Financial_Metrics" ref="A1:F20" tableType="queryTable" totalsRowShown="0">
  <autoFilter ref="A1:F20" xr:uid="{FBD26DA3-B278-40F9-8FC7-C675FA9284F6}">
    <filterColumn colId="0">
      <filters>
        <filter val="Diluted Earnings per share"/>
        <filter val="Net income"/>
        <filter val="Return on equity"/>
      </filters>
    </filterColumn>
  </autoFilter>
  <tableColumns count="6">
    <tableColumn id="1" xr3:uid="{FFA2EA17-D0E3-41B5-A945-E640F9859214}" uniqueName="1" name="($ IN 000’S EXCEPT PERCENTAGES AND PER SHARE AMOUNTS)" queryTableFieldId="1" dataDxfId="22"/>
    <tableColumn id="2" xr3:uid="{D36F9BE7-E559-438E-84F8-1E0A1FBA0491}" uniqueName="2" name="2024^{3}" queryTableFieldId="2"/>
    <tableColumn id="3" xr3:uid="{2F38B766-E220-42CE-A4BA-72C0F34AEA43}" uniqueName="3" name="2023^{3}" queryTableFieldId="3"/>
    <tableColumn id="4" xr3:uid="{C8743A14-61BB-4B6E-9524-989C164CF9BC}" uniqueName="4" name="2022^{3}" queryTableFieldId="4"/>
    <tableColumn id="5" xr3:uid="{1ECAB29E-BB9A-421A-950D-F19287D5BC6E}" uniqueName="5" name="2021^{3}" queryTableFieldId="5" dataDxfId="21"/>
    <tableColumn id="6" xr3:uid="{1592D505-77D6-466E-A9B8-71812E44C5A2}" uniqueName="6" name="2020" queryTableFieldId="6" dataDxfId="20"/>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5C58B57-0B5C-4A7D-9792-E53BCEE568BD}" name="Income_statement_2023" displayName="Income_statement_2023" ref="A1:E19" tableType="queryTable" totalsRowShown="0">
  <autoFilter ref="A1:E19" xr:uid="{75C58B57-0B5C-4A7D-9792-E53BCEE568BD}"/>
  <tableColumns count="5">
    <tableColumn id="1" xr3:uid="{4CD94170-36C0-47E4-B1DF-D46501B675B8}" uniqueName="1" name="($ IN 000'S EXCEPT EARNINGS PER SHARE)" queryTableFieldId="1" dataDxfId="19"/>
    <tableColumn id="2" xr3:uid="{E7DA8516-8D9B-4610-9D19-99FBEC03DB13}" uniqueName="2" name="EASYFINANCIAL" queryTableFieldId="2" dataDxfId="18"/>
    <tableColumn id="3" xr3:uid="{68E57B80-B507-49D0-A38A-006E3EB1120A}" uniqueName="3" name="EASYHOME (Dec 31, 2023)" queryTableFieldId="3"/>
    <tableColumn id="4" xr3:uid="{12612EEB-C2BE-4570-B776-FC254E387A17}" uniqueName="4" name="CORPORATE" queryTableFieldId="4" dataDxfId="17"/>
    <tableColumn id="5" xr3:uid="{22A4B646-ECF2-40FC-A57D-FCEC377BFC13}" uniqueName="5" name="TOTAL" queryTableFieldId="5"/>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BB05B1B-48B4-40C4-94FE-D1419B561FED}" name="Income_Statement_2024" displayName="Income_Statement_2024" ref="A1:E19" tableType="queryTable" totalsRowShown="0">
  <autoFilter ref="A1:E19" xr:uid="{3BB05B1B-48B4-40C4-94FE-D1419B561FED}"/>
  <tableColumns count="5">
    <tableColumn id="1" xr3:uid="{62E568C5-4358-4D80-B920-99C27FA7C11E}" uniqueName="1" name="($ IN 000'S EXCEPT EARNINGS PER SHARE)" queryTableFieldId="1" dataDxfId="16"/>
    <tableColumn id="2" xr3:uid="{3F0E1BC3-8CD3-4B73-8935-94A2F3D7CF0E}" uniqueName="2" name="EASYFINANCIAL" queryTableFieldId="2" dataDxfId="15"/>
    <tableColumn id="3" xr3:uid="{B4616304-7BDE-48AC-9D75-9A7BC612182F}" uniqueName="3" name="EASYHOME (Dec 31, 2024)" queryTableFieldId="3"/>
    <tableColumn id="4" xr3:uid="{65F1D3E2-94A1-467B-B609-DCB382A567BB}" uniqueName="4" name="CORPORATE" queryTableFieldId="4" dataDxfId="14"/>
    <tableColumn id="5" xr3:uid="{00AC5D4B-6119-4D9E-87F3-90540277491C}" uniqueName="5" name="TOTAL" queryTableFieldId="5"/>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D07D3BE-8DC3-4DAC-9CB0-0BF33FAE9C18}" name="Financial_Summary__1" displayName="Financial_Summary__1" ref="A1:E46" tableType="queryTable" totalsRowShown="0">
  <autoFilter ref="A1:E46" xr:uid="{AD07D3BE-8DC3-4DAC-9CB0-0BF33FAE9C18}"/>
  <tableColumns count="5">
    <tableColumn id="1" xr3:uid="{64B6445C-C4AE-4089-9865-31CB30D0E10D}" uniqueName="1" name="Column1" queryTableFieldId="1" dataDxfId="13"/>
    <tableColumn id="2" xr3:uid="{63F16A0A-CE5F-4432-9E85-2C7E708E47C8}" uniqueName="2" name="YEAR" queryTableFieldId="2" dataDxfId="12"/>
    <tableColumn id="3" xr3:uid="{457544EC-E800-4796-9C6E-D3873913DF5F}" uniqueName="3" name="ENDED" queryTableFieldId="3" dataDxfId="11"/>
    <tableColumn id="4" xr3:uid="{6801F06A-521F-4736-9825-403361DEF3F3}" uniqueName="4" name="Column4" queryTableFieldId="4" dataDxfId="10"/>
    <tableColumn id="5" xr3:uid="{90E8D004-5525-45D8-8D3D-8DFF0425BB5A}" uniqueName="5" name="Column5" queryTableFieldId="5" dataDxfId="9"/>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928CC61-F9D5-4758-B791-9661181EFEB9}" name="ROE1_" displayName="ROE1_" ref="A1:D7" tableType="queryTable" totalsRowShown="0">
  <autoFilter ref="A1:D7" xr:uid="{6928CC61-F9D5-4758-B791-9661181EFEB9}"/>
  <tableColumns count="4">
    <tableColumn id="1" xr3:uid="{7B46018B-5608-472B-BB1D-B46E23B40ACD}" uniqueName="1" name="Column1" queryTableFieldId="1" dataDxfId="8"/>
    <tableColumn id="2" xr3:uid="{BB6B4B83-77CD-4530-AC3C-7D2373DF14D1}" uniqueName="2" name="ACTUAL RESULTS_x000a_FOR 2024" queryTableFieldId="2" dataDxfId="7"/>
    <tableColumn id="3" xr3:uid="{F3A47ADB-6C8B-4E5D-9797-32F1A05AF55C}" uniqueName="3" name="UPDATED FORECASTS_x000a_FOR 2024" queryTableFieldId="3" dataDxfId="6"/>
    <tableColumn id="4" xr3:uid="{9C76E68C-B7D9-4C96-A7C3-8E1EBE6588EA}" uniqueName="4" name="OUTCOME" queryTableFieldId="4" dataDxfId="5"/>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FD04E76-8C5A-420A-BD2E-7CFA94DCAC35}" name="ROE2_" displayName="ROE2_" ref="A1:D7" tableType="queryTable" totalsRowShown="0">
  <autoFilter ref="A1:D7" xr:uid="{2FD04E76-8C5A-420A-BD2E-7CFA94DCAC35}"/>
  <tableColumns count="4">
    <tableColumn id="1" xr3:uid="{ED0144DD-3E0C-4D2E-A035-BA06B713E24C}" uniqueName="1" name="Column1" queryTableFieldId="1" dataDxfId="4"/>
    <tableColumn id="2" xr3:uid="{DC0EAD71-8122-456B-B34A-C9694EF199C2}" uniqueName="2" name="FORECASTS_x000a_FOR 2025" queryTableFieldId="2" dataDxfId="3"/>
    <tableColumn id="3" xr3:uid="{D8D3E032-4425-4A65-A6B1-0F6A4E572966}" uniqueName="3" name="FORECASTS_x000a_FOR 2026" queryTableFieldId="3" dataDxfId="2"/>
    <tableColumn id="4" xr3:uid="{68AAA275-3B16-45D6-82B1-055E02A2CEDD}" uniqueName="4" name="FORECASTS_x000a_FOR 2027" queryTableFieldId="4" dataDxfId="1"/>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FE76FE-7193-4252-AE8A-3D3D7EBCDC8E}" name="Balance_Sheet__23___24" displayName="Balance_Sheet__23___24" ref="A1:C6" tableType="queryTable" totalsRowShown="0">
  <autoFilter ref="A1:C6" xr:uid="{60FE76FE-7193-4252-AE8A-3D3D7EBCDC8E}"/>
  <tableColumns count="3">
    <tableColumn id="1" xr3:uid="{1A300F6D-85E5-4EAD-909D-C9447BFE80FE}" uniqueName="1" name="($ IN 000’S)" queryTableFieldId="1" dataDxfId="0"/>
    <tableColumn id="2" xr3:uid="{11B42DAE-F427-47B5-8339-6ACBD2747E4C}" uniqueName="2" name="DECEMBER 31, 2024" queryTableFieldId="2"/>
    <tableColumn id="3" xr3:uid="{08D32DAB-DC7C-47FC-B1F2-BB99D312EBEE}" uniqueName="3" name="DECEMBER 31, 2023"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table" Target="../tables/table8.xml"/><Relationship Id="rId4"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C8E3B-EB8F-4C00-B495-89038CF9D4A6}">
  <dimension ref="A1:B3"/>
  <sheetViews>
    <sheetView workbookViewId="0">
      <selection activeCell="E3" sqref="E3"/>
    </sheetView>
  </sheetViews>
  <sheetFormatPr defaultRowHeight="14.4" x14ac:dyDescent="0.3"/>
  <cols>
    <col min="2" max="2" width="67.109375" customWidth="1"/>
  </cols>
  <sheetData>
    <row r="1" spans="1:2" ht="22.8" x14ac:dyDescent="0.4">
      <c r="A1" s="19" t="s">
        <v>457</v>
      </c>
    </row>
    <row r="3" spans="1:2" ht="148.80000000000001" customHeight="1" x14ac:dyDescent="0.3">
      <c r="B3" s="39" t="s">
        <v>458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FC30F-7077-44B2-AC4D-0CF973B69DBD}">
  <dimension ref="A1:B9"/>
  <sheetViews>
    <sheetView workbookViewId="0">
      <selection activeCell="A9" sqref="A9"/>
    </sheetView>
  </sheetViews>
  <sheetFormatPr defaultRowHeight="14.4" x14ac:dyDescent="0.3"/>
  <cols>
    <col min="1" max="1" width="57" bestFit="1" customWidth="1"/>
    <col min="2" max="2" width="53.6640625" bestFit="1" customWidth="1"/>
  </cols>
  <sheetData>
    <row r="1" spans="1:2" x14ac:dyDescent="0.3">
      <c r="A1" s="4" t="s">
        <v>544</v>
      </c>
      <c r="B1" s="4" t="s">
        <v>543</v>
      </c>
    </row>
    <row r="3" spans="1:2" x14ac:dyDescent="0.3">
      <c r="A3" s="35" t="s">
        <v>542</v>
      </c>
    </row>
    <row r="4" spans="1:2" x14ac:dyDescent="0.3">
      <c r="A4" t="s">
        <v>541</v>
      </c>
    </row>
    <row r="5" spans="1:2" x14ac:dyDescent="0.3">
      <c r="A5" t="s">
        <v>540</v>
      </c>
    </row>
    <row r="6" spans="1:2" x14ac:dyDescent="0.3">
      <c r="A6" t="s">
        <v>539</v>
      </c>
    </row>
    <row r="8" spans="1:2" x14ac:dyDescent="0.3">
      <c r="A8" s="35" t="s">
        <v>538</v>
      </c>
    </row>
    <row r="9" spans="1:2" x14ac:dyDescent="0.3">
      <c r="A9" t="s">
        <v>537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0A6E6-C25E-4892-A3F4-23AAF67C2263}">
  <dimension ref="A1:C18"/>
  <sheetViews>
    <sheetView workbookViewId="0">
      <selection activeCell="B15" sqref="B15"/>
    </sheetView>
  </sheetViews>
  <sheetFormatPr defaultRowHeight="36" customHeight="1" x14ac:dyDescent="0.3"/>
  <cols>
    <col min="1" max="1" width="8.88671875" style="21"/>
    <col min="2" max="2" width="45.33203125" bestFit="1" customWidth="1"/>
    <col min="3" max="3" width="77.5546875" bestFit="1" customWidth="1"/>
  </cols>
  <sheetData>
    <row r="1" spans="1:3" ht="46.2" customHeight="1" x14ac:dyDescent="0.3">
      <c r="A1" s="20" t="s">
        <v>491</v>
      </c>
      <c r="B1" t="s">
        <v>459</v>
      </c>
      <c r="C1" t="s">
        <v>460</v>
      </c>
    </row>
    <row r="2" spans="1:3" ht="36" customHeight="1" x14ac:dyDescent="0.3">
      <c r="A2" s="22">
        <v>1</v>
      </c>
      <c r="B2" s="24" t="s">
        <v>461</v>
      </c>
      <c r="C2" s="11" t="s">
        <v>476</v>
      </c>
    </row>
    <row r="3" spans="1:3" ht="36" customHeight="1" x14ac:dyDescent="0.3">
      <c r="A3" s="23">
        <v>2</v>
      </c>
      <c r="B3" s="24" t="s">
        <v>462</v>
      </c>
      <c r="C3" s="11" t="s">
        <v>477</v>
      </c>
    </row>
    <row r="4" spans="1:3" ht="36" customHeight="1" x14ac:dyDescent="0.3">
      <c r="A4" s="22">
        <v>3</v>
      </c>
      <c r="B4" s="24" t="s">
        <v>463</v>
      </c>
      <c r="C4" s="11" t="s">
        <v>478</v>
      </c>
    </row>
    <row r="5" spans="1:3" ht="36" customHeight="1" x14ac:dyDescent="0.3">
      <c r="A5" s="23">
        <v>4</v>
      </c>
      <c r="B5" s="24" t="s">
        <v>464</v>
      </c>
      <c r="C5" s="11" t="s">
        <v>479</v>
      </c>
    </row>
    <row r="6" spans="1:3" ht="36" customHeight="1" x14ac:dyDescent="0.3">
      <c r="A6" s="22">
        <v>5</v>
      </c>
      <c r="B6" s="24" t="s">
        <v>465</v>
      </c>
      <c r="C6" s="11" t="s">
        <v>480</v>
      </c>
    </row>
    <row r="7" spans="1:3" ht="36" customHeight="1" x14ac:dyDescent="0.3">
      <c r="A7" s="23">
        <v>6</v>
      </c>
      <c r="B7" s="24" t="s">
        <v>466</v>
      </c>
      <c r="C7" s="11" t="s">
        <v>481</v>
      </c>
    </row>
    <row r="8" spans="1:3" ht="60" customHeight="1" x14ac:dyDescent="0.3">
      <c r="A8" s="23">
        <v>7</v>
      </c>
      <c r="B8" s="24" t="s">
        <v>535</v>
      </c>
      <c r="C8" s="11" t="s">
        <v>536</v>
      </c>
    </row>
    <row r="9" spans="1:3" ht="36" customHeight="1" x14ac:dyDescent="0.3">
      <c r="A9" s="22">
        <v>8</v>
      </c>
      <c r="B9" s="25" t="s">
        <v>471</v>
      </c>
      <c r="C9" s="11" t="s">
        <v>482</v>
      </c>
    </row>
    <row r="10" spans="1:3" ht="36" customHeight="1" x14ac:dyDescent="0.3">
      <c r="A10" s="23">
        <v>9</v>
      </c>
      <c r="B10" s="25" t="s">
        <v>467</v>
      </c>
      <c r="C10" s="11" t="s">
        <v>483</v>
      </c>
    </row>
    <row r="11" spans="1:3" ht="36" customHeight="1" x14ac:dyDescent="0.3">
      <c r="A11" s="22">
        <v>10</v>
      </c>
      <c r="B11" s="25" t="s">
        <v>468</v>
      </c>
      <c r="C11" s="11" t="s">
        <v>484</v>
      </c>
    </row>
    <row r="12" spans="1:3" ht="36" customHeight="1" x14ac:dyDescent="0.3">
      <c r="A12" s="23">
        <v>11</v>
      </c>
      <c r="B12" s="25" t="s">
        <v>469</v>
      </c>
      <c r="C12" s="11" t="s">
        <v>485</v>
      </c>
    </row>
    <row r="13" spans="1:3" ht="36" customHeight="1" x14ac:dyDescent="0.3">
      <c r="A13" s="22">
        <v>12</v>
      </c>
      <c r="B13" s="25" t="s">
        <v>470</v>
      </c>
      <c r="C13" s="11" t="s">
        <v>486</v>
      </c>
    </row>
    <row r="14" spans="1:3" ht="36" customHeight="1" x14ac:dyDescent="0.3">
      <c r="A14" s="23">
        <v>13</v>
      </c>
      <c r="B14" s="25" t="s">
        <v>474</v>
      </c>
      <c r="C14" s="11" t="s">
        <v>487</v>
      </c>
    </row>
    <row r="15" spans="1:3" ht="36" customHeight="1" x14ac:dyDescent="0.3">
      <c r="A15" s="23">
        <v>14</v>
      </c>
      <c r="B15" s="25" t="s">
        <v>475</v>
      </c>
      <c r="C15" s="11" t="s">
        <v>488</v>
      </c>
    </row>
    <row r="16" spans="1:3" ht="36" customHeight="1" x14ac:dyDescent="0.3">
      <c r="A16" s="22">
        <v>15</v>
      </c>
      <c r="B16" s="25" t="s">
        <v>472</v>
      </c>
      <c r="C16" s="11" t="s">
        <v>489</v>
      </c>
    </row>
    <row r="17" spans="1:3" ht="36" customHeight="1" x14ac:dyDescent="0.3">
      <c r="A17" s="23">
        <v>16</v>
      </c>
      <c r="B17" s="25" t="s">
        <v>473</v>
      </c>
      <c r="C17" s="11" t="s">
        <v>490</v>
      </c>
    </row>
    <row r="18" spans="1:3" ht="36" customHeight="1" x14ac:dyDescent="0.3">
      <c r="A18" s="36">
        <v>17</v>
      </c>
      <c r="B18" s="37" t="s">
        <v>551</v>
      </c>
      <c r="C18" s="38" t="s">
        <v>552</v>
      </c>
    </row>
  </sheetData>
  <autoFilter ref="A1:A17" xr:uid="{4A40A6E6-C25E-4892-A3F4-23AAF67C2263}"/>
  <hyperlinks>
    <hyperlink ref="B2" location="Financials!A1" display="Financials" xr:uid="{145C4563-D759-4BAB-A07C-7AA5D28E58E1}"/>
    <hyperlink ref="B3" location="'Market Data'!A1" display="Market Data" xr:uid="{262C1E16-F119-4AE9-8DE0-777975B7B457}"/>
    <hyperlink ref="B4" location="Valuation!A1" display="Valuation" xr:uid="{C2DA60F3-4CA4-49D3-86E4-51DD0219E824}"/>
    <hyperlink ref="B5" location="Inputs!A1" display="Inputs" xr:uid="{E841BB9D-6D9B-4F31-BDB1-E4FAA49C4A70}"/>
    <hyperlink ref="B6" location="'Residual Income Valuation'!A1" display="Residual Income Valuation" xr:uid="{84050FEB-0CA4-4204-BCAA-4B902B856952}"/>
    <hyperlink ref="B7" location="'Valuation Summary'!A1" display="Valuation Summary" xr:uid="{B21A2502-D82B-4653-9AE0-975D4CEEA89C}"/>
    <hyperlink ref="B9" location="'Financial Summary (A)'!A1" display="Financial Summary (A)" xr:uid="{D788DE52-E7F8-45D1-9A27-C66203126905}"/>
    <hyperlink ref="B10" location="'Shares outstanding'!A1" display="Shares outstanding" xr:uid="{C043D727-D25F-4682-B4C1-2DD6BB55D3E5}"/>
    <hyperlink ref="B11" location="'Financial Metrics'!A1" display="Financial Metrics" xr:uid="{EC5D374B-1A00-46FA-9E51-221F7EAB1816}"/>
    <hyperlink ref="B12" location="'Income statement 2023'!A1" display="Income statement 2023" xr:uid="{BCA7F05D-C289-454B-810F-EDFD51F853E3}"/>
    <hyperlink ref="B13" location="'Income Statement 2024'!A1" display="Income statement 2024" xr:uid="{77F5337D-CCE6-4CE6-8689-AB57118829FB}"/>
    <hyperlink ref="B14" location="'Financial Summary (2)'!A1" display="Financial Summary (2)" xr:uid="{922F6116-6EB9-45B9-90D7-646781174534}"/>
    <hyperlink ref="B15" location="'Previous ROE'!A1" display="Previous ROE" xr:uid="{E6154927-0A02-4A8B-8F6E-99AD6DE48E64}"/>
    <hyperlink ref="B16" location="'Projected ROE'!A1" display="Projected ROE" xr:uid="{FF4C8842-5E40-439C-B620-815F850E114F}"/>
    <hyperlink ref="B17" location="'Bad Debts'!A1" display="Bad Debts" xr:uid="{76D49B93-63A2-43CA-B24F-67A7E0FCB7FC}"/>
    <hyperlink ref="B8" location="'Sensitivity Analysis'!A1" display="Sensitivity Analysis" xr:uid="{CAE00B72-29EC-431B-9FE2-68A4F69C6F55}"/>
    <hyperlink ref="B18" location="'Error Checks'!A1" display="Error Checks" xr:uid="{98122878-7F68-4CC3-A2B2-131004A0ED65}"/>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
  <sheetViews>
    <sheetView workbookViewId="0">
      <selection activeCell="F16" sqref="F16"/>
    </sheetView>
  </sheetViews>
  <sheetFormatPr defaultRowHeight="23.4" customHeight="1" x14ac:dyDescent="0.3"/>
  <cols>
    <col min="1" max="1" width="6.5546875" customWidth="1"/>
    <col min="2" max="2" width="18.109375" style="1" customWidth="1"/>
    <col min="3" max="3" width="14.5546875" style="1" customWidth="1"/>
    <col min="4" max="4" width="13.5546875" style="1" customWidth="1"/>
    <col min="5" max="5" width="23.109375" style="6" customWidth="1"/>
    <col min="6" max="6" width="11.33203125" style="1" bestFit="1" customWidth="1"/>
    <col min="7" max="7" width="21.88671875" bestFit="1" customWidth="1"/>
  </cols>
  <sheetData>
    <row r="1" spans="1:9" ht="23.4" customHeight="1" x14ac:dyDescent="0.3">
      <c r="A1" t="s">
        <v>0</v>
      </c>
      <c r="B1" s="1" t="s">
        <v>10</v>
      </c>
      <c r="C1" s="1" t="s">
        <v>11</v>
      </c>
      <c r="D1" s="1" t="s">
        <v>12</v>
      </c>
      <c r="E1" s="6" t="s">
        <v>19</v>
      </c>
      <c r="F1" s="1" t="s">
        <v>13</v>
      </c>
      <c r="G1" t="s">
        <v>1</v>
      </c>
      <c r="I1" t="s">
        <v>14</v>
      </c>
    </row>
    <row r="2" spans="1:9" ht="23.4" customHeight="1" x14ac:dyDescent="0.3">
      <c r="A2">
        <v>2020</v>
      </c>
      <c r="B2" s="1">
        <v>136505</v>
      </c>
      <c r="C2" s="1">
        <v>8.76</v>
      </c>
      <c r="D2" s="1">
        <v>443512</v>
      </c>
      <c r="E2" s="6">
        <v>15757</v>
      </c>
      <c r="F2" s="1">
        <f>Financial_no.[[#This Row],[Equity ]]/Financial_no.[[#This Row],[Shares Outstanding ]]</f>
        <v>28.146982293583804</v>
      </c>
      <c r="G2" s="2">
        <v>0.36099999999999999</v>
      </c>
      <c r="I2" s="3" t="s">
        <v>15</v>
      </c>
    </row>
    <row r="3" spans="1:9" ht="23.4" customHeight="1" x14ac:dyDescent="0.3">
      <c r="A3">
        <v>2021</v>
      </c>
      <c r="B3" s="1">
        <v>244943</v>
      </c>
      <c r="C3" s="1">
        <v>14.62</v>
      </c>
      <c r="D3" s="1">
        <v>789913</v>
      </c>
      <c r="E3" s="6">
        <v>16757</v>
      </c>
      <c r="F3" s="1">
        <f>Financial_no.[[#This Row],[Equity ]]/Financial_no.[[#This Row],[Shares Outstanding ]]</f>
        <v>47.139285074894076</v>
      </c>
      <c r="G3" s="2">
        <v>0.36699999999999999</v>
      </c>
    </row>
    <row r="4" spans="1:9" ht="23.4" customHeight="1" x14ac:dyDescent="0.3">
      <c r="A4">
        <v>2022</v>
      </c>
      <c r="B4" s="1">
        <v>140161</v>
      </c>
      <c r="C4" s="1">
        <v>8.42</v>
      </c>
      <c r="D4" s="1">
        <v>869688</v>
      </c>
      <c r="E4" s="6">
        <v>16650</v>
      </c>
      <c r="F4" s="1">
        <f>Financial_no.[[#This Row],[Equity ]]/Financial_no.[[#This Row],[Shares Outstanding ]]</f>
        <v>52.233513513513515</v>
      </c>
      <c r="G4" s="2">
        <v>0.17599999999999999</v>
      </c>
    </row>
    <row r="5" spans="1:9" ht="23.4" customHeight="1" x14ac:dyDescent="0.3">
      <c r="A5">
        <v>2023</v>
      </c>
      <c r="B5" s="1">
        <v>247898</v>
      </c>
      <c r="C5" s="1">
        <v>14.48</v>
      </c>
      <c r="D5" s="1">
        <v>1054077</v>
      </c>
      <c r="E5" s="6">
        <v>17117</v>
      </c>
      <c r="F5" s="1">
        <f>Financial_no.[[#This Row],[Equity ]]/Financial_no.[[#This Row],[Shares Outstanding ]]</f>
        <v>61.580709236431616</v>
      </c>
      <c r="G5" s="2">
        <v>0.25900000000000001</v>
      </c>
      <c r="H5" s="7"/>
    </row>
    <row r="6" spans="1:9" ht="23.4" customHeight="1" x14ac:dyDescent="0.3">
      <c r="A6">
        <v>2024</v>
      </c>
      <c r="B6" s="1">
        <v>283110</v>
      </c>
      <c r="C6" s="1">
        <v>16.3</v>
      </c>
      <c r="D6" s="1">
        <v>1201063</v>
      </c>
      <c r="E6" s="6">
        <v>17366</v>
      </c>
      <c r="F6" s="1">
        <f>Financial_no.[[#This Row],[Equity ]]/Financial_no.[[#This Row],[Shares Outstanding ]]</f>
        <v>69.161752850397335</v>
      </c>
      <c r="G6" s="2">
        <v>0.249</v>
      </c>
      <c r="H6" s="7"/>
    </row>
    <row r="7" spans="1:9" ht="23.4" customHeight="1" x14ac:dyDescent="0.3">
      <c r="I7" s="4"/>
    </row>
    <row r="8" spans="1:9" ht="23.4" customHeight="1" x14ac:dyDescent="0.3">
      <c r="G8" s="4" t="s">
        <v>20</v>
      </c>
    </row>
  </sheetData>
  <pageMargins left="0.75" right="0.75" top="1" bottom="1" header="0.5" footer="0.5"/>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
  <sheetViews>
    <sheetView workbookViewId="0">
      <selection activeCell="D8" sqref="D8"/>
    </sheetView>
  </sheetViews>
  <sheetFormatPr defaultRowHeight="23.4" customHeight="1" x14ac:dyDescent="0.3"/>
  <cols>
    <col min="2" max="2" width="17.77734375" style="1" customWidth="1"/>
    <col min="4" max="4" width="12" bestFit="1" customWidth="1"/>
  </cols>
  <sheetData>
    <row r="1" spans="1:7" ht="23.4" customHeight="1" x14ac:dyDescent="0.3">
      <c r="A1" t="s">
        <v>0</v>
      </c>
      <c r="B1" s="1" t="s">
        <v>16</v>
      </c>
      <c r="C1" t="s">
        <v>2</v>
      </c>
      <c r="D1" t="s">
        <v>3</v>
      </c>
      <c r="G1" t="s">
        <v>17</v>
      </c>
    </row>
    <row r="2" spans="1:7" ht="23.4" customHeight="1" x14ac:dyDescent="0.3">
      <c r="A2">
        <v>2020</v>
      </c>
      <c r="B2" s="1">
        <v>63</v>
      </c>
      <c r="C2">
        <f>B2/Financials!C2</f>
        <v>7.1917808219178081</v>
      </c>
      <c r="D2">
        <f>B2/Financials!F2</f>
        <v>2.2382505997582931</v>
      </c>
      <c r="G2" t="s">
        <v>18</v>
      </c>
    </row>
    <row r="3" spans="1:7" ht="23.4" customHeight="1" x14ac:dyDescent="0.3">
      <c r="A3">
        <v>2021</v>
      </c>
      <c r="B3" s="1">
        <v>155</v>
      </c>
      <c r="C3">
        <f>B3/Financials!C3</f>
        <v>10.601915184678523</v>
      </c>
      <c r="D3">
        <f>B3/Financials!F3</f>
        <v>3.2881279330761739</v>
      </c>
    </row>
    <row r="4" spans="1:7" ht="23.4" customHeight="1" x14ac:dyDescent="0.3">
      <c r="A4">
        <v>2022</v>
      </c>
      <c r="B4" s="1">
        <v>110</v>
      </c>
      <c r="C4">
        <f>B4/Financials!C4</f>
        <v>13.064133016627078</v>
      </c>
      <c r="D4">
        <f>B4/Financials!F4</f>
        <v>2.1059276430168059</v>
      </c>
    </row>
    <row r="5" spans="1:7" ht="23.4" customHeight="1" x14ac:dyDescent="0.3">
      <c r="A5">
        <v>2023</v>
      </c>
      <c r="B5" s="1">
        <v>185</v>
      </c>
      <c r="C5">
        <f>B5/Financials!C5</f>
        <v>12.776243093922652</v>
      </c>
      <c r="D5">
        <f>B5/Financials!F5</f>
        <v>3.0041875498659016</v>
      </c>
    </row>
    <row r="6" spans="1:7" ht="23.4" customHeight="1" x14ac:dyDescent="0.3">
      <c r="A6">
        <v>2024</v>
      </c>
      <c r="B6" s="1">
        <v>175</v>
      </c>
      <c r="C6">
        <f>B6/Financials!C6</f>
        <v>10.736196319018404</v>
      </c>
      <c r="D6">
        <f>B6/Financials!F6</f>
        <v>2.5303002423686349</v>
      </c>
    </row>
    <row r="8" spans="1:7" ht="23.4" customHeight="1" x14ac:dyDescent="0.3">
      <c r="G8" s="4"/>
    </row>
    <row r="9" spans="1:7" ht="23.4" customHeight="1" x14ac:dyDescent="0.3">
      <c r="G9" s="5"/>
    </row>
    <row r="10" spans="1:7" ht="23.4" customHeight="1" x14ac:dyDescent="0.3">
      <c r="G10" s="5"/>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
  <sheetViews>
    <sheetView workbookViewId="0">
      <selection activeCell="I8" sqref="I8"/>
    </sheetView>
  </sheetViews>
  <sheetFormatPr defaultRowHeight="26.4" customHeight="1" x14ac:dyDescent="0.3"/>
  <cols>
    <col min="1" max="1" width="18.88671875" bestFit="1" customWidth="1"/>
    <col min="2" max="2" width="6" bestFit="1" customWidth="1"/>
    <col min="3" max="3" width="17.6640625" customWidth="1"/>
    <col min="4" max="4" width="12" bestFit="1" customWidth="1"/>
    <col min="5" max="5" width="17.77734375" customWidth="1"/>
  </cols>
  <sheetData>
    <row r="1" spans="1:5" ht="26.4" customHeight="1" x14ac:dyDescent="0.3">
      <c r="A1" t="s">
        <v>4</v>
      </c>
      <c r="B1">
        <v>12</v>
      </c>
    </row>
    <row r="2" spans="1:5" ht="26.4" customHeight="1" x14ac:dyDescent="0.3">
      <c r="A2" t="s">
        <v>5</v>
      </c>
      <c r="B2">
        <v>3</v>
      </c>
    </row>
    <row r="4" spans="1:5" ht="26.4" customHeight="1" x14ac:dyDescent="0.3">
      <c r="A4" t="s">
        <v>0</v>
      </c>
      <c r="B4" t="s">
        <v>6</v>
      </c>
      <c r="C4" t="s">
        <v>7</v>
      </c>
      <c r="D4" t="s">
        <v>8</v>
      </c>
      <c r="E4" t="s">
        <v>9</v>
      </c>
    </row>
    <row r="5" spans="1:5" ht="26.4" customHeight="1" x14ac:dyDescent="0.3">
      <c r="A5">
        <f>Financials!A2</f>
        <v>2020</v>
      </c>
      <c r="B5">
        <f>Financials!C2</f>
        <v>8.76</v>
      </c>
      <c r="C5">
        <f>Financials!C2*Valuation!B1</f>
        <v>105.12</v>
      </c>
      <c r="D5">
        <f>Financials!F2</f>
        <v>28.146982293583804</v>
      </c>
      <c r="E5">
        <f>Financials!F2*Valuation!B2</f>
        <v>84.440946880751412</v>
      </c>
    </row>
    <row r="6" spans="1:5" ht="26.4" customHeight="1" x14ac:dyDescent="0.3">
      <c r="A6">
        <f>Financials!A3</f>
        <v>2021</v>
      </c>
      <c r="B6">
        <f>Financials!C3</f>
        <v>14.62</v>
      </c>
      <c r="C6">
        <f>Financials!C3*Valuation!B1</f>
        <v>175.44</v>
      </c>
      <c r="D6">
        <f>Financials!F3</f>
        <v>47.139285074894076</v>
      </c>
      <c r="E6">
        <f>Financials!F3*Valuation!B2</f>
        <v>141.41785522468223</v>
      </c>
    </row>
    <row r="7" spans="1:5" ht="26.4" customHeight="1" x14ac:dyDescent="0.3">
      <c r="A7">
        <f>Financials!A4</f>
        <v>2022</v>
      </c>
      <c r="B7">
        <f>Financials!C4</f>
        <v>8.42</v>
      </c>
      <c r="C7">
        <f>Financials!C4*Valuation!B1</f>
        <v>101.03999999999999</v>
      </c>
      <c r="D7">
        <f>Financials!F4</f>
        <v>52.233513513513515</v>
      </c>
      <c r="E7">
        <f>Financials!F4*Valuation!B2</f>
        <v>156.70054054054054</v>
      </c>
    </row>
    <row r="8" spans="1:5" ht="26.4" customHeight="1" x14ac:dyDescent="0.3">
      <c r="A8">
        <f>Financials!A5</f>
        <v>2023</v>
      </c>
      <c r="B8">
        <f>Financials!C5</f>
        <v>14.48</v>
      </c>
      <c r="C8">
        <f>Financials!C5*Valuation!B1</f>
        <v>173.76</v>
      </c>
      <c r="D8">
        <f>Financials!F5</f>
        <v>61.580709236431616</v>
      </c>
      <c r="E8">
        <f>Financials!F5*Valuation!B2</f>
        <v>184.74212770929483</v>
      </c>
    </row>
    <row r="9" spans="1:5" ht="26.4" customHeight="1" x14ac:dyDescent="0.3">
      <c r="A9">
        <f>Financials!A6</f>
        <v>2024</v>
      </c>
      <c r="B9" s="8">
        <f>Financials!C6</f>
        <v>16.3</v>
      </c>
      <c r="C9">
        <f>Financials!C6*Valuation!B1</f>
        <v>195.60000000000002</v>
      </c>
      <c r="D9">
        <f>Financials!F6</f>
        <v>69.161752850397335</v>
      </c>
      <c r="E9">
        <f>Financials!F6*Valuation!B2</f>
        <v>207.485258551192</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DD8E1-1399-459D-B9D6-7C6C4768FC01}">
  <dimension ref="A1:C7"/>
  <sheetViews>
    <sheetView workbookViewId="0">
      <selection activeCell="G8" sqref="G8"/>
    </sheetView>
  </sheetViews>
  <sheetFormatPr defaultRowHeight="36.6" customHeight="1" x14ac:dyDescent="0.3"/>
  <cols>
    <col min="1" max="1" width="17.5546875" bestFit="1" customWidth="1"/>
    <col min="2" max="2" width="7.6640625" customWidth="1"/>
    <col min="3" max="3" width="38.44140625" bestFit="1" customWidth="1"/>
  </cols>
  <sheetData>
    <row r="1" spans="1:3" ht="36.6" customHeight="1" x14ac:dyDescent="0.3">
      <c r="A1" t="s">
        <v>410</v>
      </c>
      <c r="B1" t="s">
        <v>411</v>
      </c>
      <c r="C1" t="s">
        <v>412</v>
      </c>
    </row>
    <row r="2" spans="1:3" ht="53.4" customHeight="1" x14ac:dyDescent="0.3">
      <c r="A2" t="s">
        <v>413</v>
      </c>
      <c r="B2" s="2">
        <v>3.5000000000000003E-2</v>
      </c>
      <c r="C2" s="11" t="s">
        <v>443</v>
      </c>
    </row>
    <row r="3" spans="1:3" ht="36.6" customHeight="1" x14ac:dyDescent="0.3">
      <c r="A3" t="s">
        <v>414</v>
      </c>
      <c r="B3" s="2">
        <v>5.5E-2</v>
      </c>
      <c r="C3" s="11" t="s">
        <v>444</v>
      </c>
    </row>
    <row r="4" spans="1:3" ht="36.6" customHeight="1" x14ac:dyDescent="0.3">
      <c r="A4" t="s">
        <v>415</v>
      </c>
      <c r="B4">
        <v>1.2</v>
      </c>
      <c r="C4" s="11" t="s">
        <v>445</v>
      </c>
    </row>
    <row r="5" spans="1:3" ht="43.2" x14ac:dyDescent="0.3">
      <c r="A5" t="s">
        <v>416</v>
      </c>
      <c r="B5" s="2">
        <v>0.10100000000000001</v>
      </c>
      <c r="C5" s="11" t="s">
        <v>446</v>
      </c>
    </row>
    <row r="6" spans="1:3" ht="36.6" customHeight="1" x14ac:dyDescent="0.3">
      <c r="A6" t="s">
        <v>417</v>
      </c>
      <c r="B6" s="2">
        <v>0.23499999999999999</v>
      </c>
      <c r="C6" s="11" t="s">
        <v>447</v>
      </c>
    </row>
    <row r="7" spans="1:3" ht="36.6" customHeight="1" x14ac:dyDescent="0.3">
      <c r="A7" t="s">
        <v>418</v>
      </c>
      <c r="B7" s="2">
        <v>0.04</v>
      </c>
      <c r="C7" t="s">
        <v>419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84F16-0284-40BB-A2EC-1600216F83E7}">
  <dimension ref="A1:G7"/>
  <sheetViews>
    <sheetView workbookViewId="0">
      <selection activeCell="F7" sqref="F7"/>
    </sheetView>
  </sheetViews>
  <sheetFormatPr defaultRowHeight="14.4" x14ac:dyDescent="0.3"/>
  <cols>
    <col min="1" max="1" width="21.33203125" bestFit="1" customWidth="1"/>
    <col min="2" max="2" width="10.21875" bestFit="1" customWidth="1"/>
    <col min="3" max="5" width="10" bestFit="1" customWidth="1"/>
    <col min="6" max="6" width="72.88671875" customWidth="1"/>
    <col min="7" max="7" width="53.6640625" bestFit="1" customWidth="1"/>
  </cols>
  <sheetData>
    <row r="1" spans="1:7" ht="36.6" customHeight="1" x14ac:dyDescent="0.3">
      <c r="A1" t="s">
        <v>420</v>
      </c>
      <c r="B1" t="s">
        <v>421</v>
      </c>
      <c r="C1" t="s">
        <v>422</v>
      </c>
      <c r="D1" t="s">
        <v>423</v>
      </c>
      <c r="E1" t="s">
        <v>424</v>
      </c>
      <c r="F1" t="s">
        <v>412</v>
      </c>
    </row>
    <row r="2" spans="1:7" ht="36.6" customHeight="1" x14ac:dyDescent="0.3">
      <c r="A2" t="s">
        <v>425</v>
      </c>
      <c r="B2" t="s">
        <v>30</v>
      </c>
      <c r="C2" s="9">
        <v>1201063</v>
      </c>
      <c r="D2" s="9">
        <v>1483313</v>
      </c>
      <c r="E2" s="9">
        <v>1831892</v>
      </c>
      <c r="F2" s="9"/>
      <c r="G2" s="12" t="s">
        <v>441</v>
      </c>
    </row>
    <row r="3" spans="1:7" ht="36.6" customHeight="1" x14ac:dyDescent="0.3">
      <c r="A3" t="s">
        <v>426</v>
      </c>
      <c r="B3" s="9">
        <v>283110</v>
      </c>
      <c r="C3" s="9">
        <v>282250</v>
      </c>
      <c r="D3" s="9">
        <v>348579</v>
      </c>
      <c r="E3" s="9">
        <v>430495</v>
      </c>
      <c r="F3" t="s">
        <v>448</v>
      </c>
      <c r="G3" s="13"/>
    </row>
    <row r="4" spans="1:7" ht="36.6" customHeight="1" x14ac:dyDescent="0.3">
      <c r="A4" t="s">
        <v>427</v>
      </c>
      <c r="B4" t="s">
        <v>30</v>
      </c>
      <c r="C4" s="9">
        <v>-121307</v>
      </c>
      <c r="D4" s="9">
        <v>-149815</v>
      </c>
      <c r="E4" s="9">
        <v>-185021</v>
      </c>
      <c r="F4" t="s">
        <v>450</v>
      </c>
      <c r="G4" s="12" t="s">
        <v>440</v>
      </c>
    </row>
    <row r="5" spans="1:7" ht="36.6" customHeight="1" x14ac:dyDescent="0.3">
      <c r="A5" t="s">
        <v>428</v>
      </c>
      <c r="B5" t="s">
        <v>30</v>
      </c>
      <c r="C5" s="9">
        <v>160943</v>
      </c>
      <c r="D5" s="9">
        <v>198764</v>
      </c>
      <c r="E5" s="9">
        <v>245474</v>
      </c>
      <c r="F5" s="14" t="s">
        <v>449</v>
      </c>
      <c r="G5" s="13"/>
    </row>
    <row r="6" spans="1:7" ht="36.6" customHeight="1" x14ac:dyDescent="0.3">
      <c r="A6" t="s">
        <v>429</v>
      </c>
      <c r="B6">
        <v>1</v>
      </c>
      <c r="C6">
        <v>0.90800000000000003</v>
      </c>
      <c r="D6">
        <v>0.82499999999999996</v>
      </c>
      <c r="E6">
        <v>0.749</v>
      </c>
      <c r="F6" s="9"/>
      <c r="G6" s="12" t="s">
        <v>442</v>
      </c>
    </row>
    <row r="7" spans="1:7" ht="36.6" customHeight="1" x14ac:dyDescent="0.3">
      <c r="A7" t="s">
        <v>430</v>
      </c>
      <c r="B7" t="s">
        <v>30</v>
      </c>
      <c r="C7" s="9">
        <v>146136</v>
      </c>
      <c r="D7" s="9">
        <v>163980</v>
      </c>
      <c r="E7" s="9">
        <v>183860</v>
      </c>
      <c r="F7" s="9"/>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AF30C-7B90-491B-8B5E-66945E72F137}">
  <dimension ref="A1:B22"/>
  <sheetViews>
    <sheetView workbookViewId="0">
      <selection activeCell="B22" sqref="B22"/>
    </sheetView>
  </sheetViews>
  <sheetFormatPr defaultRowHeight="14.4" x14ac:dyDescent="0.3"/>
  <cols>
    <col min="1" max="1" width="35.88671875" customWidth="1"/>
    <col min="2" max="2" width="18.77734375" bestFit="1" customWidth="1"/>
  </cols>
  <sheetData>
    <row r="1" spans="1:2" x14ac:dyDescent="0.3">
      <c r="A1" t="s">
        <v>431</v>
      </c>
      <c r="B1" t="s">
        <v>432</v>
      </c>
    </row>
    <row r="2" spans="1:2" x14ac:dyDescent="0.3">
      <c r="A2" t="s">
        <v>433</v>
      </c>
      <c r="B2" s="9">
        <v>493976</v>
      </c>
    </row>
    <row r="3" spans="1:2" x14ac:dyDescent="0.3">
      <c r="A3" t="s">
        <v>434</v>
      </c>
      <c r="B3" s="9">
        <v>3134657</v>
      </c>
    </row>
    <row r="4" spans="1:2" ht="15" thickBot="1" x14ac:dyDescent="0.35">
      <c r="A4" s="16" t="s">
        <v>435</v>
      </c>
      <c r="B4" s="17">
        <f>B2+B3</f>
        <v>3628633</v>
      </c>
    </row>
    <row r="5" spans="1:2" ht="15" thickTop="1" x14ac:dyDescent="0.3">
      <c r="A5" t="s">
        <v>436</v>
      </c>
      <c r="B5" s="9">
        <v>1201063</v>
      </c>
    </row>
    <row r="6" spans="1:2" ht="15" thickBot="1" x14ac:dyDescent="0.35">
      <c r="A6" s="16" t="s">
        <v>437</v>
      </c>
      <c r="B6" s="17">
        <f>B2+B3+B5</f>
        <v>4829696</v>
      </c>
    </row>
    <row r="7" spans="1:2" ht="15" thickTop="1" x14ac:dyDescent="0.3">
      <c r="A7" t="s">
        <v>438</v>
      </c>
      <c r="B7" s="9">
        <v>17366</v>
      </c>
    </row>
    <row r="8" spans="1:2" ht="15" thickBot="1" x14ac:dyDescent="0.35">
      <c r="A8" s="16" t="s">
        <v>439</v>
      </c>
      <c r="B8" s="18">
        <f>B6/B7</f>
        <v>278.11217321202349</v>
      </c>
    </row>
    <row r="9" spans="1:2" ht="15" thickTop="1" x14ac:dyDescent="0.3">
      <c r="B9" s="10"/>
    </row>
    <row r="10" spans="1:2" x14ac:dyDescent="0.3">
      <c r="B10" s="10"/>
    </row>
    <row r="12" spans="1:2" ht="288" x14ac:dyDescent="0.3">
      <c r="A12" s="11" t="s">
        <v>456</v>
      </c>
    </row>
    <row r="14" spans="1:2" x14ac:dyDescent="0.3">
      <c r="A14" t="s">
        <v>451</v>
      </c>
    </row>
    <row r="15" spans="1:2" x14ac:dyDescent="0.3">
      <c r="A15" s="15"/>
    </row>
    <row r="16" spans="1:2" x14ac:dyDescent="0.3">
      <c r="A16" s="15" t="s">
        <v>454</v>
      </c>
    </row>
    <row r="17" spans="1:1" x14ac:dyDescent="0.3">
      <c r="A17" s="15"/>
    </row>
    <row r="18" spans="1:1" x14ac:dyDescent="0.3">
      <c r="A18" s="15" t="s">
        <v>452</v>
      </c>
    </row>
    <row r="19" spans="1:1" x14ac:dyDescent="0.3">
      <c r="A19" s="15"/>
    </row>
    <row r="20" spans="1:1" x14ac:dyDescent="0.3">
      <c r="A20" s="15" t="s">
        <v>453</v>
      </c>
    </row>
    <row r="22" spans="1:1" x14ac:dyDescent="0.3">
      <c r="A22" t="s">
        <v>455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827C1-D933-4A54-A717-1A35A1F5E431}">
  <dimension ref="A1:D49"/>
  <sheetViews>
    <sheetView tabSelected="1" topLeftCell="A32" workbookViewId="0">
      <selection activeCell="A37" sqref="A37"/>
    </sheetView>
  </sheetViews>
  <sheetFormatPr defaultColWidth="26.44140625" defaultRowHeight="14.4" x14ac:dyDescent="0.3"/>
  <cols>
    <col min="1" max="1" width="25.44140625" bestFit="1" customWidth="1"/>
    <col min="2" max="2" width="21.6640625" customWidth="1"/>
  </cols>
  <sheetData>
    <row r="1" spans="1:2" ht="45" customHeight="1" x14ac:dyDescent="0.3">
      <c r="A1" s="31" t="s">
        <v>492</v>
      </c>
    </row>
    <row r="3" spans="1:2" ht="28.8" x14ac:dyDescent="0.3">
      <c r="A3" s="26" t="s">
        <v>493</v>
      </c>
    </row>
    <row r="4" spans="1:2" x14ac:dyDescent="0.3">
      <c r="A4" s="26"/>
    </row>
    <row r="5" spans="1:2" x14ac:dyDescent="0.3">
      <c r="A5" s="27" t="s">
        <v>494</v>
      </c>
      <c r="B5" s="27" t="s">
        <v>495</v>
      </c>
    </row>
    <row r="6" spans="1:2" x14ac:dyDescent="0.3">
      <c r="A6" s="28">
        <v>0.21</v>
      </c>
      <c r="B6" s="26" t="s">
        <v>496</v>
      </c>
    </row>
    <row r="7" spans="1:2" x14ac:dyDescent="0.3">
      <c r="A7" s="34" t="s">
        <v>497</v>
      </c>
      <c r="B7" s="26" t="s">
        <v>498</v>
      </c>
    </row>
    <row r="8" spans="1:2" x14ac:dyDescent="0.3">
      <c r="A8" s="28">
        <v>0.25</v>
      </c>
      <c r="B8" s="26" t="s">
        <v>499</v>
      </c>
    </row>
    <row r="9" spans="1:2" x14ac:dyDescent="0.3">
      <c r="A9" s="28">
        <v>0.27</v>
      </c>
      <c r="B9" s="26" t="s">
        <v>500</v>
      </c>
    </row>
    <row r="12" spans="1:2" x14ac:dyDescent="0.3">
      <c r="A12" t="s">
        <v>501</v>
      </c>
    </row>
    <row r="14" spans="1:2" ht="45" customHeight="1" x14ac:dyDescent="0.3">
      <c r="A14" s="31" t="s">
        <v>502</v>
      </c>
    </row>
    <row r="16" spans="1:2" ht="43.2" x14ac:dyDescent="0.3">
      <c r="A16" s="26" t="s">
        <v>503</v>
      </c>
    </row>
    <row r="17" spans="1:4" x14ac:dyDescent="0.3">
      <c r="A17" s="26"/>
    </row>
    <row r="18" spans="1:4" ht="28.8" x14ac:dyDescent="0.3">
      <c r="A18" s="27" t="s">
        <v>504</v>
      </c>
      <c r="B18" s="27" t="s">
        <v>505</v>
      </c>
      <c r="C18" s="27" t="s">
        <v>506</v>
      </c>
      <c r="D18" s="27" t="s">
        <v>507</v>
      </c>
    </row>
    <row r="19" spans="1:4" x14ac:dyDescent="0.3">
      <c r="A19" s="29" t="s">
        <v>508</v>
      </c>
      <c r="B19" s="26" t="s">
        <v>509</v>
      </c>
      <c r="C19" s="26" t="s">
        <v>510</v>
      </c>
      <c r="D19" s="26" t="s">
        <v>511</v>
      </c>
    </row>
    <row r="20" spans="1:4" x14ac:dyDescent="0.3">
      <c r="A20" s="29" t="s">
        <v>512</v>
      </c>
      <c r="B20" s="26" t="s">
        <v>513</v>
      </c>
      <c r="C20" s="26" t="s">
        <v>514</v>
      </c>
      <c r="D20" s="26" t="s">
        <v>498</v>
      </c>
    </row>
    <row r="21" spans="1:4" x14ac:dyDescent="0.3">
      <c r="A21" s="29" t="s">
        <v>515</v>
      </c>
      <c r="B21" s="26" t="s">
        <v>516</v>
      </c>
      <c r="C21" s="26" t="s">
        <v>517</v>
      </c>
      <c r="D21" s="26" t="s">
        <v>518</v>
      </c>
    </row>
    <row r="23" spans="1:4" ht="72" x14ac:dyDescent="0.3">
      <c r="A23" s="26" t="s">
        <v>519</v>
      </c>
    </row>
    <row r="25" spans="1:4" ht="45" customHeight="1" x14ac:dyDescent="0.3">
      <c r="A25" s="31" t="s">
        <v>520</v>
      </c>
    </row>
    <row r="27" spans="1:4" x14ac:dyDescent="0.3">
      <c r="A27" s="26" t="s">
        <v>521</v>
      </c>
    </row>
    <row r="28" spans="1:4" x14ac:dyDescent="0.3">
      <c r="A28" s="26"/>
    </row>
    <row r="29" spans="1:4" x14ac:dyDescent="0.3">
      <c r="A29" s="27" t="s">
        <v>534</v>
      </c>
      <c r="B29" s="27" t="s">
        <v>495</v>
      </c>
    </row>
    <row r="30" spans="1:4" x14ac:dyDescent="0.3">
      <c r="A30" s="30">
        <v>0.09</v>
      </c>
      <c r="B30" s="33" t="s">
        <v>522</v>
      </c>
    </row>
    <row r="31" spans="1:4" x14ac:dyDescent="0.3">
      <c r="A31" s="32" t="s">
        <v>523</v>
      </c>
      <c r="B31" s="33" t="s">
        <v>498</v>
      </c>
    </row>
    <row r="32" spans="1:4" x14ac:dyDescent="0.3">
      <c r="A32" s="30">
        <v>0.11</v>
      </c>
      <c r="B32" s="33" t="s">
        <v>524</v>
      </c>
    </row>
    <row r="33" spans="1:2" x14ac:dyDescent="0.3">
      <c r="A33" s="30">
        <v>0.12</v>
      </c>
      <c r="B33" s="33" t="s">
        <v>525</v>
      </c>
    </row>
    <row r="35" spans="1:2" x14ac:dyDescent="0.3">
      <c r="A35" t="s">
        <v>526</v>
      </c>
    </row>
    <row r="37" spans="1:2" ht="45" customHeight="1" x14ac:dyDescent="0.3">
      <c r="A37" s="31" t="s">
        <v>527</v>
      </c>
    </row>
    <row r="39" spans="1:2" ht="28.8" x14ac:dyDescent="0.3">
      <c r="A39" s="26" t="s">
        <v>528</v>
      </c>
    </row>
    <row r="40" spans="1:2" x14ac:dyDescent="0.3">
      <c r="A40" s="26"/>
    </row>
    <row r="41" spans="1:2" x14ac:dyDescent="0.3">
      <c r="A41" s="27" t="s">
        <v>418</v>
      </c>
      <c r="B41" s="34" t="s">
        <v>495</v>
      </c>
    </row>
    <row r="42" spans="1:2" x14ac:dyDescent="0.3">
      <c r="A42" s="30">
        <v>0.03</v>
      </c>
      <c r="B42" s="33" t="s">
        <v>529</v>
      </c>
    </row>
    <row r="43" spans="1:2" x14ac:dyDescent="0.3">
      <c r="A43" s="34" t="s">
        <v>530</v>
      </c>
      <c r="B43" s="33" t="s">
        <v>498</v>
      </c>
    </row>
    <row r="44" spans="1:2" x14ac:dyDescent="0.3">
      <c r="A44" s="30">
        <v>0.05</v>
      </c>
      <c r="B44" s="33" t="s">
        <v>531</v>
      </c>
    </row>
    <row r="46" spans="1:2" x14ac:dyDescent="0.3">
      <c r="A46" t="s">
        <v>532</v>
      </c>
    </row>
    <row r="49" spans="1:1" x14ac:dyDescent="0.3">
      <c r="A49" t="s">
        <v>533</v>
      </c>
    </row>
  </sheetData>
  <pageMargins left="0.7" right="0.7" top="0.75" bottom="0.75" header="0.3" footer="0.3"/>
  <tableParts count="4">
    <tablePart r:id="rId1"/>
    <tablePart r:id="rId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C2BB7-EFDB-4E71-94CD-ED326163C821}">
  <dimension ref="A1:F19"/>
  <sheetViews>
    <sheetView workbookViewId="0">
      <selection activeCell="E25" sqref="E25"/>
    </sheetView>
  </sheetViews>
  <sheetFormatPr defaultRowHeight="14.4" x14ac:dyDescent="0.3"/>
  <cols>
    <col min="1" max="1" width="80.88671875" bestFit="1" customWidth="1"/>
    <col min="2" max="5" width="8" bestFit="1" customWidth="1"/>
  </cols>
  <sheetData>
    <row r="1" spans="1:6" x14ac:dyDescent="0.3">
      <c r="A1" t="s">
        <v>402</v>
      </c>
      <c r="B1" t="s">
        <v>120</v>
      </c>
      <c r="C1" t="s">
        <v>121</v>
      </c>
      <c r="D1" t="s">
        <v>403</v>
      </c>
      <c r="E1" t="s">
        <v>36</v>
      </c>
      <c r="F1" t="s">
        <v>37</v>
      </c>
    </row>
    <row r="2" spans="1:6" hidden="1" x14ac:dyDescent="0.3">
      <c r="A2" t="s">
        <v>38</v>
      </c>
    </row>
    <row r="3" spans="1:6" hidden="1" x14ac:dyDescent="0.3">
      <c r="A3" t="s">
        <v>39</v>
      </c>
      <c r="B3">
        <v>1523289</v>
      </c>
      <c r="C3">
        <v>1250069</v>
      </c>
      <c r="D3">
        <v>1019336</v>
      </c>
      <c r="E3">
        <v>826722</v>
      </c>
      <c r="F3" t="s">
        <v>41</v>
      </c>
    </row>
    <row r="4" spans="1:6" hidden="1" x14ac:dyDescent="0.3">
      <c r="A4" t="s">
        <v>42</v>
      </c>
      <c r="B4">
        <v>609657</v>
      </c>
      <c r="C4">
        <v>476518</v>
      </c>
      <c r="D4">
        <v>332407</v>
      </c>
      <c r="E4">
        <v>281003</v>
      </c>
      <c r="F4" t="s">
        <v>43</v>
      </c>
    </row>
    <row r="5" spans="1:6" x14ac:dyDescent="0.3">
      <c r="A5" t="s">
        <v>44</v>
      </c>
      <c r="B5">
        <v>283110</v>
      </c>
      <c r="C5">
        <v>247898</v>
      </c>
      <c r="D5">
        <v>140161</v>
      </c>
      <c r="E5">
        <v>244943</v>
      </c>
      <c r="F5" t="s">
        <v>46</v>
      </c>
    </row>
    <row r="6" spans="1:6" x14ac:dyDescent="0.3">
      <c r="A6" t="s">
        <v>47</v>
      </c>
      <c r="B6">
        <v>16.3</v>
      </c>
      <c r="C6">
        <v>14.48</v>
      </c>
      <c r="D6">
        <v>8.42</v>
      </c>
      <c r="E6">
        <v>14.62</v>
      </c>
      <c r="F6" t="s">
        <v>49</v>
      </c>
    </row>
    <row r="7" spans="1:6" hidden="1" x14ac:dyDescent="0.3">
      <c r="A7" t="s">
        <v>50</v>
      </c>
    </row>
    <row r="8" spans="1:6" hidden="1" x14ac:dyDescent="0.3">
      <c r="A8" t="s">
        <v>25</v>
      </c>
      <c r="B8">
        <v>251381</v>
      </c>
      <c r="C8">
        <v>144577</v>
      </c>
      <c r="D8">
        <v>62654</v>
      </c>
      <c r="E8">
        <v>102479</v>
      </c>
      <c r="F8" t="s">
        <v>26</v>
      </c>
    </row>
    <row r="9" spans="1:6" hidden="1" x14ac:dyDescent="0.3">
      <c r="A9" t="s">
        <v>181</v>
      </c>
      <c r="B9">
        <v>4596115</v>
      </c>
      <c r="C9">
        <v>3645202</v>
      </c>
      <c r="D9">
        <v>2794694</v>
      </c>
      <c r="E9">
        <v>2030339</v>
      </c>
      <c r="F9" t="s">
        <v>53</v>
      </c>
    </row>
    <row r="10" spans="1:6" hidden="1" x14ac:dyDescent="0.3">
      <c r="A10" t="s">
        <v>54</v>
      </c>
      <c r="B10">
        <v>40973</v>
      </c>
      <c r="C10">
        <v>45187</v>
      </c>
      <c r="D10">
        <v>48437</v>
      </c>
      <c r="E10">
        <v>47182</v>
      </c>
      <c r="F10" t="s">
        <v>55</v>
      </c>
    </row>
    <row r="11" spans="1:6" hidden="1" x14ac:dyDescent="0.3">
      <c r="A11" t="s">
        <v>22</v>
      </c>
      <c r="B11">
        <v>5194536</v>
      </c>
      <c r="C11">
        <v>4164167</v>
      </c>
      <c r="D11">
        <v>3302889</v>
      </c>
      <c r="E11">
        <v>2596153</v>
      </c>
      <c r="F11" t="s">
        <v>23</v>
      </c>
    </row>
    <row r="12" spans="1:6" hidden="1" x14ac:dyDescent="0.3">
      <c r="A12" t="s">
        <v>404</v>
      </c>
      <c r="B12">
        <v>3629803</v>
      </c>
      <c r="C12">
        <v>2819665</v>
      </c>
      <c r="D12">
        <v>2229260</v>
      </c>
      <c r="E12">
        <v>1552679</v>
      </c>
      <c r="F12" t="s">
        <v>56</v>
      </c>
    </row>
    <row r="13" spans="1:6" x14ac:dyDescent="0.3">
      <c r="A13" t="s">
        <v>57</v>
      </c>
      <c r="B13">
        <v>1201063</v>
      </c>
      <c r="C13">
        <v>1054077</v>
      </c>
      <c r="D13">
        <v>869688</v>
      </c>
      <c r="E13">
        <v>789913</v>
      </c>
      <c r="F13" t="s">
        <v>58</v>
      </c>
    </row>
    <row r="14" spans="1:6" hidden="1" x14ac:dyDescent="0.3">
      <c r="A14" t="s">
        <v>59</v>
      </c>
    </row>
    <row r="15" spans="1:6" hidden="1" x14ac:dyDescent="0.3">
      <c r="A15" t="s">
        <v>60</v>
      </c>
      <c r="B15">
        <v>0.219</v>
      </c>
      <c r="C15">
        <v>0.22600000000000001</v>
      </c>
      <c r="D15">
        <v>0.23300000000000001</v>
      </c>
      <c r="E15">
        <v>0.26600000000000001</v>
      </c>
      <c r="F15" t="s">
        <v>405</v>
      </c>
    </row>
    <row r="16" spans="1:6" hidden="1" x14ac:dyDescent="0.3">
      <c r="A16" t="s">
        <v>61</v>
      </c>
      <c r="B16">
        <v>0.4</v>
      </c>
      <c r="C16">
        <v>0.38100000000000001</v>
      </c>
      <c r="D16">
        <v>0.32600000000000001</v>
      </c>
      <c r="E16">
        <v>0.34</v>
      </c>
      <c r="F16" t="s">
        <v>406</v>
      </c>
    </row>
    <row r="17" spans="1:6" hidden="1" x14ac:dyDescent="0.3">
      <c r="A17" t="s">
        <v>407</v>
      </c>
      <c r="B17">
        <v>0.41199999999999998</v>
      </c>
      <c r="C17">
        <v>0.39300000000000002</v>
      </c>
      <c r="D17">
        <v>0.36199999999999999</v>
      </c>
      <c r="E17">
        <v>0.38300000000000001</v>
      </c>
      <c r="F17" t="s">
        <v>406</v>
      </c>
    </row>
    <row r="18" spans="1:6" hidden="1" x14ac:dyDescent="0.3">
      <c r="A18" t="s">
        <v>408</v>
      </c>
      <c r="B18">
        <v>0.253</v>
      </c>
      <c r="C18">
        <v>0.30199999999999999</v>
      </c>
      <c r="D18">
        <v>0.33600000000000002</v>
      </c>
      <c r="E18">
        <v>0.372</v>
      </c>
      <c r="F18" t="s">
        <v>30</v>
      </c>
    </row>
    <row r="19" spans="1:6" hidden="1" x14ac:dyDescent="0.3">
      <c r="A19" t="s">
        <v>409</v>
      </c>
      <c r="B19">
        <v>290142</v>
      </c>
      <c r="C19">
        <v>243175</v>
      </c>
      <c r="D19">
        <v>192261</v>
      </c>
      <c r="E19">
        <v>174759</v>
      </c>
      <c r="F19" t="s">
        <v>64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8FEAB-7C7F-4E7A-B5B1-0636AE4041F5}">
  <dimension ref="A1"/>
  <sheetViews>
    <sheetView topLeftCell="K1" workbookViewId="0">
      <selection activeCell="V13" sqref="V13"/>
    </sheetView>
  </sheetViews>
  <sheetFormatPr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83465-9AFC-417B-85DC-9C0BA8015429}">
  <dimension ref="A1:C32"/>
  <sheetViews>
    <sheetView workbookViewId="0"/>
  </sheetViews>
  <sheetFormatPr defaultRowHeight="14.4" x14ac:dyDescent="0.3"/>
  <cols>
    <col min="1" max="1" width="54.88671875" bestFit="1" customWidth="1"/>
    <col min="2" max="3" width="20.21875" bestFit="1" customWidth="1"/>
  </cols>
  <sheetData>
    <row r="1" spans="1:3" x14ac:dyDescent="0.3">
      <c r="A1" t="s">
        <v>377</v>
      </c>
      <c r="B1" t="s">
        <v>85</v>
      </c>
      <c r="C1" t="s">
        <v>86</v>
      </c>
    </row>
    <row r="2" spans="1:3" hidden="1" x14ac:dyDescent="0.3">
      <c r="A2" t="s">
        <v>24</v>
      </c>
      <c r="B2">
        <v>4366533</v>
      </c>
      <c r="C2">
        <v>3447588</v>
      </c>
    </row>
    <row r="3" spans="1:3" hidden="1" x14ac:dyDescent="0.3">
      <c r="A3" t="s">
        <v>25</v>
      </c>
      <c r="B3">
        <v>251381</v>
      </c>
      <c r="C3">
        <v>144577</v>
      </c>
    </row>
    <row r="4" spans="1:3" hidden="1" x14ac:dyDescent="0.3">
      <c r="A4" t="s">
        <v>378</v>
      </c>
      <c r="B4">
        <v>42438</v>
      </c>
      <c r="C4">
        <v>30762</v>
      </c>
    </row>
    <row r="5" spans="1:3" hidden="1" x14ac:dyDescent="0.3">
      <c r="A5" t="s">
        <v>379</v>
      </c>
      <c r="B5">
        <v>9488</v>
      </c>
      <c r="C5">
        <v>9462</v>
      </c>
    </row>
    <row r="6" spans="1:3" hidden="1" x14ac:dyDescent="0.3">
      <c r="A6" t="s">
        <v>380</v>
      </c>
      <c r="B6">
        <v>41918</v>
      </c>
      <c r="C6">
        <v>61464</v>
      </c>
    </row>
    <row r="7" spans="1:3" hidden="1" x14ac:dyDescent="0.3">
      <c r="A7" t="s">
        <v>54</v>
      </c>
      <c r="B7">
        <v>40973</v>
      </c>
      <c r="C7">
        <v>45187</v>
      </c>
    </row>
    <row r="8" spans="1:3" hidden="1" x14ac:dyDescent="0.3">
      <c r="A8" t="s">
        <v>381</v>
      </c>
      <c r="B8">
        <v>60675</v>
      </c>
      <c r="C8">
        <v>21904</v>
      </c>
    </row>
    <row r="9" spans="1:3" hidden="1" x14ac:dyDescent="0.3">
      <c r="A9" t="s">
        <v>382</v>
      </c>
      <c r="B9">
        <v>35004</v>
      </c>
      <c r="C9">
        <v>35382</v>
      </c>
    </row>
    <row r="10" spans="1:3" hidden="1" x14ac:dyDescent="0.3">
      <c r="A10" t="s">
        <v>383</v>
      </c>
      <c r="B10">
        <v>54224</v>
      </c>
      <c r="C10">
        <v>61987</v>
      </c>
    </row>
    <row r="11" spans="1:3" hidden="1" x14ac:dyDescent="0.3">
      <c r="A11" t="s">
        <v>384</v>
      </c>
      <c r="B11">
        <v>110979</v>
      </c>
      <c r="C11">
        <v>124931</v>
      </c>
    </row>
    <row r="12" spans="1:3" hidden="1" x14ac:dyDescent="0.3">
      <c r="A12" t="s">
        <v>385</v>
      </c>
      <c r="B12">
        <v>180923</v>
      </c>
      <c r="C12">
        <v>180923</v>
      </c>
    </row>
    <row r="13" spans="1:3" hidden="1" x14ac:dyDescent="0.3">
      <c r="A13" t="s">
        <v>22</v>
      </c>
      <c r="B13">
        <v>5194536</v>
      </c>
      <c r="C13">
        <v>4164167</v>
      </c>
    </row>
    <row r="14" spans="1:3" hidden="1" x14ac:dyDescent="0.3">
      <c r="A14" t="s">
        <v>28</v>
      </c>
      <c r="B14">
        <v>2413795</v>
      </c>
      <c r="C14">
        <v>1120826</v>
      </c>
    </row>
    <row r="15" spans="1:3" hidden="1" x14ac:dyDescent="0.3">
      <c r="A15" t="s">
        <v>29</v>
      </c>
      <c r="B15">
        <v>1073876</v>
      </c>
      <c r="C15">
        <v>1364741</v>
      </c>
    </row>
    <row r="16" spans="1:3" hidden="1" x14ac:dyDescent="0.3">
      <c r="A16" t="s">
        <v>31</v>
      </c>
      <c r="B16">
        <v>120335</v>
      </c>
      <c r="C16">
        <v>143177</v>
      </c>
    </row>
    <row r="17" spans="1:3" hidden="1" x14ac:dyDescent="0.3">
      <c r="A17" t="s">
        <v>32</v>
      </c>
      <c r="B17">
        <v>21797</v>
      </c>
      <c r="C17">
        <v>190921</v>
      </c>
    </row>
    <row r="18" spans="1:3" hidden="1" x14ac:dyDescent="0.3">
      <c r="A18" t="s">
        <v>386</v>
      </c>
      <c r="B18">
        <v>3629803</v>
      </c>
      <c r="C18">
        <v>2819665</v>
      </c>
    </row>
    <row r="19" spans="1:3" hidden="1" x14ac:dyDescent="0.3">
      <c r="A19" t="s">
        <v>387</v>
      </c>
      <c r="B19">
        <v>156903</v>
      </c>
      <c r="C19">
        <v>72409</v>
      </c>
    </row>
    <row r="20" spans="1:3" hidden="1" x14ac:dyDescent="0.3">
      <c r="A20" t="s">
        <v>388</v>
      </c>
      <c r="B20">
        <v>24567</v>
      </c>
      <c r="C20">
        <v>24691</v>
      </c>
    </row>
    <row r="21" spans="1:3" hidden="1" x14ac:dyDescent="0.3">
      <c r="A21" t="s">
        <v>389</v>
      </c>
      <c r="B21">
        <v>19519</v>
      </c>
      <c r="C21">
        <v>15960</v>
      </c>
    </row>
    <row r="22" spans="1:3" hidden="1" x14ac:dyDescent="0.3">
      <c r="A22" t="s">
        <v>390</v>
      </c>
      <c r="B22">
        <v>25864</v>
      </c>
      <c r="C22">
        <v>26965</v>
      </c>
    </row>
    <row r="23" spans="1:3" hidden="1" x14ac:dyDescent="0.3">
      <c r="A23" t="s">
        <v>391</v>
      </c>
      <c r="B23">
        <v>49003</v>
      </c>
      <c r="C23">
        <v>12875</v>
      </c>
    </row>
    <row r="24" spans="1:3" hidden="1" x14ac:dyDescent="0.3">
      <c r="A24" t="s">
        <v>392</v>
      </c>
      <c r="B24">
        <v>4184</v>
      </c>
      <c r="C24">
        <v>24259</v>
      </c>
    </row>
    <row r="25" spans="1:3" hidden="1" x14ac:dyDescent="0.3">
      <c r="A25" t="s">
        <v>393</v>
      </c>
      <c r="B25">
        <v>62164</v>
      </c>
      <c r="C25">
        <v>70809</v>
      </c>
    </row>
    <row r="26" spans="1:3" hidden="1" x14ac:dyDescent="0.3">
      <c r="A26" t="s">
        <v>394</v>
      </c>
      <c r="B26">
        <v>21466</v>
      </c>
      <c r="C26">
        <v>42457</v>
      </c>
    </row>
    <row r="27" spans="1:3" hidden="1" x14ac:dyDescent="0.3">
      <c r="A27" t="s">
        <v>27</v>
      </c>
      <c r="B27">
        <v>3993473</v>
      </c>
      <c r="C27">
        <v>3110090</v>
      </c>
    </row>
    <row r="28" spans="1:3" x14ac:dyDescent="0.3">
      <c r="A28" s="4" t="s">
        <v>57</v>
      </c>
      <c r="B28">
        <v>1201063</v>
      </c>
      <c r="C28">
        <v>1054077</v>
      </c>
    </row>
    <row r="29" spans="1:3" hidden="1" x14ac:dyDescent="0.3">
      <c r="A29" t="s">
        <v>395</v>
      </c>
      <c r="B29">
        <v>4830866</v>
      </c>
      <c r="C29">
        <v>3873742</v>
      </c>
    </row>
    <row r="30" spans="1:3" hidden="1" x14ac:dyDescent="0.3">
      <c r="A30" t="s">
        <v>396</v>
      </c>
    </row>
    <row r="31" spans="1:3" hidden="1" x14ac:dyDescent="0.3">
      <c r="A31" t="s">
        <v>397</v>
      </c>
      <c r="B31">
        <v>3.02</v>
      </c>
      <c r="C31">
        <v>2.68</v>
      </c>
    </row>
    <row r="32" spans="1:3" hidden="1" x14ac:dyDescent="0.3">
      <c r="A32" t="s">
        <v>398</v>
      </c>
      <c r="B32">
        <v>0.74</v>
      </c>
      <c r="C32">
        <v>0.72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F8A92-3D98-480C-B52B-D2E1BCFE4D31}">
  <dimension ref="A1:F20"/>
  <sheetViews>
    <sheetView workbookViewId="0">
      <selection activeCell="A39" sqref="A39"/>
    </sheetView>
  </sheetViews>
  <sheetFormatPr defaultRowHeight="14.4" x14ac:dyDescent="0.3"/>
  <cols>
    <col min="1" max="1" width="56.77734375" bestFit="1" customWidth="1"/>
    <col min="2" max="5" width="10.5546875" bestFit="1" customWidth="1"/>
  </cols>
  <sheetData>
    <row r="1" spans="1:6" x14ac:dyDescent="0.3">
      <c r="A1" t="s">
        <v>92</v>
      </c>
      <c r="B1" t="s">
        <v>93</v>
      </c>
      <c r="C1" t="s">
        <v>94</v>
      </c>
      <c r="D1" t="s">
        <v>95</v>
      </c>
      <c r="E1" t="s">
        <v>96</v>
      </c>
      <c r="F1" t="s">
        <v>37</v>
      </c>
    </row>
    <row r="2" spans="1:6" hidden="1" x14ac:dyDescent="0.3">
      <c r="A2" t="s">
        <v>97</v>
      </c>
      <c r="B2">
        <v>4596115</v>
      </c>
      <c r="C2">
        <v>3645202</v>
      </c>
      <c r="D2">
        <v>2794694</v>
      </c>
      <c r="E2" t="s">
        <v>52</v>
      </c>
      <c r="F2" t="s">
        <v>53</v>
      </c>
    </row>
    <row r="3" spans="1:6" hidden="1" x14ac:dyDescent="0.3">
      <c r="A3" t="s">
        <v>39</v>
      </c>
      <c r="B3">
        <v>1523289</v>
      </c>
      <c r="C3">
        <v>1250069</v>
      </c>
      <c r="D3">
        <v>1019336</v>
      </c>
      <c r="E3" t="s">
        <v>40</v>
      </c>
      <c r="F3" t="s">
        <v>41</v>
      </c>
    </row>
    <row r="4" spans="1:6" x14ac:dyDescent="0.3">
      <c r="A4" s="4" t="s">
        <v>44</v>
      </c>
      <c r="B4">
        <v>283110</v>
      </c>
      <c r="C4">
        <v>247898</v>
      </c>
      <c r="D4">
        <v>140161</v>
      </c>
      <c r="E4" t="s">
        <v>45</v>
      </c>
      <c r="F4" t="s">
        <v>46</v>
      </c>
    </row>
    <row r="5" spans="1:6" hidden="1" x14ac:dyDescent="0.3">
      <c r="A5" t="s">
        <v>98</v>
      </c>
      <c r="B5">
        <v>290142</v>
      </c>
      <c r="C5">
        <v>243175</v>
      </c>
      <c r="D5">
        <v>192261</v>
      </c>
      <c r="E5" t="s">
        <v>63</v>
      </c>
      <c r="F5" t="s">
        <v>64</v>
      </c>
    </row>
    <row r="6" spans="1:6" hidden="1" x14ac:dyDescent="0.3">
      <c r="A6" t="s">
        <v>99</v>
      </c>
      <c r="B6">
        <v>6.8000000000000005E-2</v>
      </c>
      <c r="C6">
        <v>7.5999999999999998E-2</v>
      </c>
      <c r="D6">
        <v>5.8000000000000003E-2</v>
      </c>
      <c r="E6" t="s">
        <v>30</v>
      </c>
      <c r="F6" t="s">
        <v>30</v>
      </c>
    </row>
    <row r="7" spans="1:6" hidden="1" x14ac:dyDescent="0.3">
      <c r="A7" t="s">
        <v>100</v>
      </c>
      <c r="B7">
        <v>7.0000000000000007E-2</v>
      </c>
      <c r="C7">
        <v>7.4999999999999997E-2</v>
      </c>
      <c r="D7">
        <v>0.08</v>
      </c>
      <c r="E7" t="s">
        <v>30</v>
      </c>
      <c r="F7" t="s">
        <v>30</v>
      </c>
    </row>
    <row r="8" spans="1:6" hidden="1" x14ac:dyDescent="0.3">
      <c r="A8" t="s">
        <v>67</v>
      </c>
      <c r="B8">
        <v>6.0999999999999999E-2</v>
      </c>
      <c r="C8">
        <v>6.7000000000000004E-2</v>
      </c>
      <c r="D8">
        <v>4.8000000000000001E-2</v>
      </c>
      <c r="E8" t="s">
        <v>68</v>
      </c>
      <c r="F8" t="s">
        <v>69</v>
      </c>
    </row>
    <row r="9" spans="1:6" hidden="1" x14ac:dyDescent="0.3">
      <c r="A9" t="s">
        <v>70</v>
      </c>
      <c r="B9">
        <v>6.2E-2</v>
      </c>
      <c r="C9">
        <v>6.5000000000000002E-2</v>
      </c>
      <c r="D9">
        <v>6.6000000000000003E-2</v>
      </c>
      <c r="E9" t="s">
        <v>71</v>
      </c>
      <c r="F9" t="s">
        <v>72</v>
      </c>
    </row>
    <row r="10" spans="1:6" x14ac:dyDescent="0.3">
      <c r="A10" s="4" t="s">
        <v>73</v>
      </c>
      <c r="B10">
        <v>0.249</v>
      </c>
      <c r="C10">
        <v>0.25900000000000001</v>
      </c>
      <c r="D10">
        <v>0.17599999999999999</v>
      </c>
      <c r="E10" t="s">
        <v>74</v>
      </c>
      <c r="F10" t="s">
        <v>75</v>
      </c>
    </row>
    <row r="11" spans="1:6" hidden="1" x14ac:dyDescent="0.3">
      <c r="A11" t="s">
        <v>76</v>
      </c>
      <c r="B11">
        <v>0.255</v>
      </c>
      <c r="C11">
        <v>0.254</v>
      </c>
      <c r="D11">
        <v>0.24199999999999999</v>
      </c>
      <c r="E11" t="s">
        <v>77</v>
      </c>
      <c r="F11" t="s">
        <v>78</v>
      </c>
    </row>
    <row r="12" spans="1:6" hidden="1" x14ac:dyDescent="0.3">
      <c r="A12" t="s">
        <v>101</v>
      </c>
      <c r="B12">
        <v>0.32800000000000001</v>
      </c>
      <c r="C12">
        <v>0.36699999999999999</v>
      </c>
      <c r="D12">
        <v>0.28399999999999997</v>
      </c>
      <c r="E12" t="s">
        <v>79</v>
      </c>
      <c r="F12" t="s">
        <v>62</v>
      </c>
    </row>
    <row r="13" spans="1:6" hidden="1" x14ac:dyDescent="0.3">
      <c r="A13" t="s">
        <v>102</v>
      </c>
      <c r="B13">
        <v>0.32500000000000001</v>
      </c>
      <c r="C13">
        <v>0.34599999999999997</v>
      </c>
      <c r="D13">
        <v>0.36399999999999999</v>
      </c>
      <c r="E13" t="s">
        <v>80</v>
      </c>
      <c r="F13" t="s">
        <v>81</v>
      </c>
    </row>
    <row r="14" spans="1:6" hidden="1" x14ac:dyDescent="0.3">
      <c r="A14" t="s">
        <v>103</v>
      </c>
      <c r="B14">
        <v>0.186</v>
      </c>
      <c r="C14">
        <v>0.19800000000000001</v>
      </c>
      <c r="D14">
        <v>0.13800000000000001</v>
      </c>
      <c r="E14" t="s">
        <v>104</v>
      </c>
      <c r="F14" t="s">
        <v>105</v>
      </c>
    </row>
    <row r="15" spans="1:6" hidden="1" x14ac:dyDescent="0.3">
      <c r="A15" t="s">
        <v>106</v>
      </c>
      <c r="B15">
        <v>0.19</v>
      </c>
      <c r="C15">
        <v>0.19500000000000001</v>
      </c>
      <c r="D15">
        <v>0.189</v>
      </c>
      <c r="E15" t="s">
        <v>107</v>
      </c>
      <c r="F15" t="s">
        <v>108</v>
      </c>
    </row>
    <row r="16" spans="1:6" hidden="1" x14ac:dyDescent="0.3">
      <c r="A16" t="s">
        <v>109</v>
      </c>
      <c r="B16">
        <v>78401</v>
      </c>
      <c r="C16">
        <v>63614</v>
      </c>
      <c r="D16">
        <v>58338</v>
      </c>
      <c r="E16" t="s">
        <v>110</v>
      </c>
      <c r="F16" t="s">
        <v>111</v>
      </c>
    </row>
    <row r="17" spans="1:6" hidden="1" x14ac:dyDescent="0.3">
      <c r="A17" t="s">
        <v>112</v>
      </c>
      <c r="B17">
        <v>4.68</v>
      </c>
      <c r="C17">
        <v>3.84</v>
      </c>
      <c r="D17">
        <v>3.64</v>
      </c>
      <c r="E17" t="s">
        <v>82</v>
      </c>
      <c r="F17" t="s">
        <v>83</v>
      </c>
    </row>
    <row r="18" spans="1:6" hidden="1" x14ac:dyDescent="0.3">
      <c r="A18" t="s">
        <v>113</v>
      </c>
      <c r="B18">
        <v>16.559999999999999</v>
      </c>
      <c r="C18">
        <v>14.7</v>
      </c>
      <c r="D18">
        <v>8.61</v>
      </c>
      <c r="E18" t="s">
        <v>114</v>
      </c>
      <c r="F18" t="s">
        <v>115</v>
      </c>
    </row>
    <row r="19" spans="1:6" x14ac:dyDescent="0.3">
      <c r="A19" s="4" t="s">
        <v>399</v>
      </c>
      <c r="B19">
        <v>16.3</v>
      </c>
      <c r="C19">
        <v>14.48</v>
      </c>
      <c r="D19">
        <v>8.42</v>
      </c>
      <c r="E19" t="s">
        <v>48</v>
      </c>
      <c r="F19" t="s">
        <v>49</v>
      </c>
    </row>
    <row r="20" spans="1:6" hidden="1" x14ac:dyDescent="0.3">
      <c r="A20" t="s">
        <v>116</v>
      </c>
      <c r="B20">
        <v>16.71</v>
      </c>
      <c r="C20">
        <v>14.21</v>
      </c>
      <c r="D20">
        <v>11.55</v>
      </c>
      <c r="E20" t="s">
        <v>65</v>
      </c>
      <c r="F20" t="s">
        <v>66</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87F49-F102-4F41-B50A-3963C01600EC}">
  <dimension ref="A1:E19"/>
  <sheetViews>
    <sheetView workbookViewId="0">
      <selection activeCell="A19" sqref="A19"/>
    </sheetView>
  </sheetViews>
  <sheetFormatPr defaultRowHeight="14.4" x14ac:dyDescent="0.3"/>
  <cols>
    <col min="1" max="1" width="39.109375" bestFit="1" customWidth="1"/>
    <col min="2" max="2" width="16.6640625" bestFit="1" customWidth="1"/>
    <col min="3" max="3" width="25.44140625" bestFit="1" customWidth="1"/>
    <col min="4" max="4" width="13.5546875" bestFit="1" customWidth="1"/>
    <col min="5" max="5" width="8.6640625" bestFit="1" customWidth="1"/>
  </cols>
  <sheetData>
    <row r="1" spans="1:5" x14ac:dyDescent="0.3">
      <c r="A1" t="s">
        <v>169</v>
      </c>
      <c r="B1" t="s">
        <v>170</v>
      </c>
      <c r="C1" t="s">
        <v>364</v>
      </c>
      <c r="D1" t="s">
        <v>171</v>
      </c>
      <c r="E1" t="s">
        <v>172</v>
      </c>
    </row>
    <row r="2" spans="1:5" x14ac:dyDescent="0.3">
      <c r="A2" t="s">
        <v>39</v>
      </c>
    </row>
    <row r="3" spans="1:5" x14ac:dyDescent="0.3">
      <c r="A3" t="s">
        <v>173</v>
      </c>
      <c r="B3" t="s">
        <v>365</v>
      </c>
      <c r="C3">
        <v>35700</v>
      </c>
      <c r="D3" t="s">
        <v>30</v>
      </c>
      <c r="E3">
        <v>888928</v>
      </c>
    </row>
    <row r="4" spans="1:5" x14ac:dyDescent="0.3">
      <c r="A4" t="s">
        <v>174</v>
      </c>
      <c r="B4" t="s">
        <v>30</v>
      </c>
      <c r="C4">
        <v>99848</v>
      </c>
      <c r="D4" t="s">
        <v>30</v>
      </c>
      <c r="E4">
        <v>99848</v>
      </c>
    </row>
    <row r="5" spans="1:5" x14ac:dyDescent="0.3">
      <c r="A5" t="s">
        <v>175</v>
      </c>
      <c r="B5" t="s">
        <v>366</v>
      </c>
      <c r="C5">
        <v>14122</v>
      </c>
      <c r="D5" t="s">
        <v>30</v>
      </c>
      <c r="E5">
        <v>234485</v>
      </c>
    </row>
    <row r="6" spans="1:5" x14ac:dyDescent="0.3">
      <c r="A6" t="s">
        <v>176</v>
      </c>
      <c r="B6" t="s">
        <v>367</v>
      </c>
      <c r="C6">
        <v>3582</v>
      </c>
      <c r="D6" t="s">
        <v>30</v>
      </c>
      <c r="E6">
        <v>26808</v>
      </c>
    </row>
    <row r="7" spans="1:5" x14ac:dyDescent="0.3">
      <c r="A7" t="s">
        <v>354</v>
      </c>
      <c r="B7" t="s">
        <v>304</v>
      </c>
      <c r="C7">
        <v>153252</v>
      </c>
      <c r="D7" t="s">
        <v>30</v>
      </c>
      <c r="E7">
        <v>1250069</v>
      </c>
    </row>
    <row r="8" spans="1:5" x14ac:dyDescent="0.3">
      <c r="A8" t="s">
        <v>177</v>
      </c>
    </row>
    <row r="9" spans="1:5" x14ac:dyDescent="0.3">
      <c r="A9" t="s">
        <v>125</v>
      </c>
      <c r="B9" t="s">
        <v>368</v>
      </c>
      <c r="C9">
        <v>14443</v>
      </c>
      <c r="D9" t="s">
        <v>30</v>
      </c>
      <c r="E9">
        <v>341639</v>
      </c>
    </row>
    <row r="10" spans="1:5" x14ac:dyDescent="0.3">
      <c r="A10" t="s">
        <v>126</v>
      </c>
      <c r="B10" t="s">
        <v>369</v>
      </c>
      <c r="C10">
        <v>59610</v>
      </c>
      <c r="D10" t="s">
        <v>370</v>
      </c>
      <c r="E10">
        <v>345581</v>
      </c>
    </row>
    <row r="11" spans="1:5" x14ac:dyDescent="0.3">
      <c r="A11" t="s">
        <v>129</v>
      </c>
      <c r="B11" t="s">
        <v>371</v>
      </c>
      <c r="C11">
        <v>42259</v>
      </c>
      <c r="D11" t="s">
        <v>372</v>
      </c>
      <c r="E11">
        <v>86331</v>
      </c>
    </row>
    <row r="12" spans="1:5" x14ac:dyDescent="0.3">
      <c r="A12" t="s">
        <v>354</v>
      </c>
      <c r="B12" t="s">
        <v>373</v>
      </c>
      <c r="C12">
        <v>116312</v>
      </c>
      <c r="D12" t="s">
        <v>374</v>
      </c>
      <c r="E12">
        <v>773551</v>
      </c>
    </row>
    <row r="13" spans="1:5" x14ac:dyDescent="0.3">
      <c r="A13" t="s">
        <v>178</v>
      </c>
      <c r="B13" t="s">
        <v>375</v>
      </c>
      <c r="C13">
        <v>36940</v>
      </c>
      <c r="D13" t="s">
        <v>376</v>
      </c>
      <c r="E13">
        <v>476518</v>
      </c>
    </row>
    <row r="14" spans="1:5" x14ac:dyDescent="0.3">
      <c r="A14" t="s">
        <v>131</v>
      </c>
      <c r="E14">
        <v>9771</v>
      </c>
    </row>
    <row r="15" spans="1:5" x14ac:dyDescent="0.3">
      <c r="A15" t="s">
        <v>132</v>
      </c>
      <c r="E15">
        <v>-149334</v>
      </c>
    </row>
    <row r="16" spans="1:5" x14ac:dyDescent="0.3">
      <c r="A16" t="s">
        <v>179</v>
      </c>
      <c r="E16">
        <v>336955</v>
      </c>
    </row>
    <row r="17" spans="1:5" x14ac:dyDescent="0.3">
      <c r="A17" t="s">
        <v>180</v>
      </c>
      <c r="E17">
        <v>89057</v>
      </c>
    </row>
    <row r="18" spans="1:5" x14ac:dyDescent="0.3">
      <c r="A18" s="4" t="s">
        <v>44</v>
      </c>
      <c r="E18">
        <v>247898</v>
      </c>
    </row>
    <row r="19" spans="1:5" x14ac:dyDescent="0.3">
      <c r="A19" s="4" t="s">
        <v>47</v>
      </c>
      <c r="E19">
        <v>14.48</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DE0C5-B546-4C37-910B-9AAA7EB8FF08}">
  <dimension ref="A1:E19"/>
  <sheetViews>
    <sheetView workbookViewId="0">
      <selection activeCell="C20" sqref="C20"/>
    </sheetView>
  </sheetViews>
  <sheetFormatPr defaultRowHeight="14.4" x14ac:dyDescent="0.3"/>
  <cols>
    <col min="1" max="1" width="39.109375" bestFit="1" customWidth="1"/>
    <col min="2" max="2" width="16.6640625" bestFit="1" customWidth="1"/>
    <col min="3" max="3" width="25.44140625" bestFit="1" customWidth="1"/>
    <col min="4" max="4" width="13.5546875" bestFit="1" customWidth="1"/>
    <col min="5" max="5" width="8.6640625" bestFit="1" customWidth="1"/>
  </cols>
  <sheetData>
    <row r="1" spans="1:5" x14ac:dyDescent="0.3">
      <c r="A1" t="s">
        <v>169</v>
      </c>
      <c r="B1" t="s">
        <v>170</v>
      </c>
      <c r="C1" t="s">
        <v>350</v>
      </c>
      <c r="D1" t="s">
        <v>171</v>
      </c>
      <c r="E1" t="s">
        <v>172</v>
      </c>
    </row>
    <row r="2" spans="1:5" x14ac:dyDescent="0.3">
      <c r="A2" t="s">
        <v>39</v>
      </c>
    </row>
    <row r="3" spans="1:5" x14ac:dyDescent="0.3">
      <c r="A3" t="s">
        <v>173</v>
      </c>
      <c r="B3" t="s">
        <v>351</v>
      </c>
      <c r="C3">
        <v>39979</v>
      </c>
      <c r="D3" t="s">
        <v>30</v>
      </c>
      <c r="E3">
        <v>1121822</v>
      </c>
    </row>
    <row r="4" spans="1:5" x14ac:dyDescent="0.3">
      <c r="A4" t="s">
        <v>174</v>
      </c>
      <c r="B4" t="s">
        <v>30</v>
      </c>
      <c r="C4">
        <v>95407</v>
      </c>
      <c r="D4" t="s">
        <v>30</v>
      </c>
      <c r="E4">
        <v>95407</v>
      </c>
    </row>
    <row r="5" spans="1:5" x14ac:dyDescent="0.3">
      <c r="A5" t="s">
        <v>175</v>
      </c>
      <c r="B5" t="s">
        <v>352</v>
      </c>
      <c r="C5">
        <v>14096</v>
      </c>
      <c r="D5" t="s">
        <v>30</v>
      </c>
      <c r="E5">
        <v>275726</v>
      </c>
    </row>
    <row r="6" spans="1:5" x14ac:dyDescent="0.3">
      <c r="A6" t="s">
        <v>176</v>
      </c>
      <c r="B6" t="s">
        <v>353</v>
      </c>
      <c r="C6">
        <v>3393</v>
      </c>
      <c r="D6" t="s">
        <v>30</v>
      </c>
      <c r="E6">
        <v>30334</v>
      </c>
    </row>
    <row r="7" spans="1:5" x14ac:dyDescent="0.3">
      <c r="A7" t="s">
        <v>354</v>
      </c>
      <c r="B7" t="s">
        <v>303</v>
      </c>
      <c r="C7">
        <v>152875</v>
      </c>
      <c r="D7" t="s">
        <v>30</v>
      </c>
      <c r="E7">
        <v>1523289</v>
      </c>
    </row>
    <row r="8" spans="1:5" x14ac:dyDescent="0.3">
      <c r="A8" t="s">
        <v>177</v>
      </c>
    </row>
    <row r="9" spans="1:5" x14ac:dyDescent="0.3">
      <c r="A9" t="s">
        <v>125</v>
      </c>
      <c r="B9" t="s">
        <v>355</v>
      </c>
      <c r="C9">
        <v>15206</v>
      </c>
      <c r="D9" t="s">
        <v>30</v>
      </c>
      <c r="E9">
        <v>467764</v>
      </c>
    </row>
    <row r="10" spans="1:5" x14ac:dyDescent="0.3">
      <c r="A10" t="s">
        <v>126</v>
      </c>
      <c r="B10" t="s">
        <v>356</v>
      </c>
      <c r="C10">
        <v>54987</v>
      </c>
      <c r="D10" t="s">
        <v>357</v>
      </c>
      <c r="E10">
        <v>361973</v>
      </c>
    </row>
    <row r="11" spans="1:5" x14ac:dyDescent="0.3">
      <c r="A11" t="s">
        <v>129</v>
      </c>
      <c r="B11" t="s">
        <v>358</v>
      </c>
      <c r="C11">
        <v>38096</v>
      </c>
      <c r="D11" t="s">
        <v>359</v>
      </c>
      <c r="E11">
        <v>83895</v>
      </c>
    </row>
    <row r="12" spans="1:5" x14ac:dyDescent="0.3">
      <c r="A12" t="s">
        <v>354</v>
      </c>
      <c r="B12" t="s">
        <v>360</v>
      </c>
      <c r="C12">
        <v>108289</v>
      </c>
      <c r="D12" t="s">
        <v>361</v>
      </c>
      <c r="E12">
        <v>913632</v>
      </c>
    </row>
    <row r="13" spans="1:5" x14ac:dyDescent="0.3">
      <c r="A13" t="s">
        <v>178</v>
      </c>
      <c r="B13" t="s">
        <v>362</v>
      </c>
      <c r="C13">
        <v>44586</v>
      </c>
      <c r="D13" t="s">
        <v>363</v>
      </c>
      <c r="E13">
        <v>609657</v>
      </c>
    </row>
    <row r="14" spans="1:5" x14ac:dyDescent="0.3">
      <c r="A14" t="s">
        <v>131</v>
      </c>
      <c r="E14">
        <v>3132</v>
      </c>
    </row>
    <row r="15" spans="1:5" x14ac:dyDescent="0.3">
      <c r="A15" t="s">
        <v>132</v>
      </c>
      <c r="E15">
        <v>-225492</v>
      </c>
    </row>
    <row r="16" spans="1:5" x14ac:dyDescent="0.3">
      <c r="A16" t="s">
        <v>179</v>
      </c>
      <c r="E16">
        <v>387297</v>
      </c>
    </row>
    <row r="17" spans="1:5" x14ac:dyDescent="0.3">
      <c r="A17" t="s">
        <v>180</v>
      </c>
      <c r="E17">
        <v>104187</v>
      </c>
    </row>
    <row r="18" spans="1:5" x14ac:dyDescent="0.3">
      <c r="A18" s="4" t="s">
        <v>44</v>
      </c>
      <c r="E18">
        <v>283110</v>
      </c>
    </row>
    <row r="19" spans="1:5" x14ac:dyDescent="0.3">
      <c r="A19" s="4" t="s">
        <v>47</v>
      </c>
      <c r="E19">
        <v>16.3</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9D2E8-F87F-40F8-8110-959519B6E4B3}">
  <dimension ref="A1:E46"/>
  <sheetViews>
    <sheetView workbookViewId="0">
      <selection activeCell="G6" sqref="G6"/>
    </sheetView>
  </sheetViews>
  <sheetFormatPr defaultRowHeight="14.4" x14ac:dyDescent="0.3"/>
  <cols>
    <col min="1" max="1" width="76.109375" bestFit="1" customWidth="1"/>
    <col min="2" max="3" width="13.21875" bestFit="1" customWidth="1"/>
    <col min="4" max="5" width="10.77734375" bestFit="1" customWidth="1"/>
  </cols>
  <sheetData>
    <row r="1" spans="1:5" x14ac:dyDescent="0.3">
      <c r="A1" t="s">
        <v>33</v>
      </c>
      <c r="B1" t="s">
        <v>182</v>
      </c>
      <c r="C1" t="s">
        <v>183</v>
      </c>
      <c r="D1" t="s">
        <v>34</v>
      </c>
      <c r="E1" t="s">
        <v>35</v>
      </c>
    </row>
    <row r="2" spans="1:5" x14ac:dyDescent="0.3">
      <c r="A2" t="s">
        <v>30</v>
      </c>
      <c r="B2" t="s">
        <v>117</v>
      </c>
      <c r="C2" t="s">
        <v>117</v>
      </c>
      <c r="D2" t="s">
        <v>118</v>
      </c>
      <c r="E2" t="s">
        <v>118</v>
      </c>
    </row>
    <row r="3" spans="1:5" x14ac:dyDescent="0.3">
      <c r="A3" t="s">
        <v>119</v>
      </c>
      <c r="B3" t="s">
        <v>120</v>
      </c>
      <c r="C3" t="s">
        <v>121</v>
      </c>
      <c r="D3" t="s">
        <v>122</v>
      </c>
      <c r="E3" t="s">
        <v>123</v>
      </c>
    </row>
    <row r="4" spans="1:5" x14ac:dyDescent="0.3">
      <c r="A4" t="s">
        <v>124</v>
      </c>
      <c r="B4" t="s">
        <v>30</v>
      </c>
      <c r="C4" t="s">
        <v>30</v>
      </c>
      <c r="D4" t="s">
        <v>30</v>
      </c>
      <c r="E4" t="s">
        <v>30</v>
      </c>
    </row>
    <row r="5" spans="1:5" x14ac:dyDescent="0.3">
      <c r="A5" t="s">
        <v>39</v>
      </c>
      <c r="B5" t="s">
        <v>191</v>
      </c>
      <c r="C5" t="s">
        <v>192</v>
      </c>
      <c r="D5" t="s">
        <v>213</v>
      </c>
      <c r="E5" t="s">
        <v>214</v>
      </c>
    </row>
    <row r="6" spans="1:5" x14ac:dyDescent="0.3">
      <c r="A6" t="s">
        <v>125</v>
      </c>
      <c r="B6" t="s">
        <v>215</v>
      </c>
      <c r="C6" t="s">
        <v>216</v>
      </c>
      <c r="D6" t="s">
        <v>217</v>
      </c>
      <c r="E6" t="s">
        <v>218</v>
      </c>
    </row>
    <row r="7" spans="1:5" x14ac:dyDescent="0.3">
      <c r="A7" t="s">
        <v>126</v>
      </c>
      <c r="B7" t="s">
        <v>219</v>
      </c>
      <c r="C7" t="s">
        <v>220</v>
      </c>
      <c r="D7" t="s">
        <v>221</v>
      </c>
      <c r="E7" t="s">
        <v>188</v>
      </c>
    </row>
    <row r="8" spans="1:5" x14ac:dyDescent="0.3">
      <c r="A8" t="s">
        <v>127</v>
      </c>
      <c r="B8" t="s">
        <v>222</v>
      </c>
      <c r="C8" t="s">
        <v>223</v>
      </c>
      <c r="D8" t="s">
        <v>224</v>
      </c>
      <c r="E8" t="s">
        <v>225</v>
      </c>
    </row>
    <row r="9" spans="1:5" x14ac:dyDescent="0.3">
      <c r="A9" t="s">
        <v>128</v>
      </c>
      <c r="B9" t="s">
        <v>226</v>
      </c>
      <c r="C9" t="s">
        <v>227</v>
      </c>
      <c r="D9" t="s">
        <v>228</v>
      </c>
      <c r="E9" t="s">
        <v>229</v>
      </c>
    </row>
    <row r="10" spans="1:5" x14ac:dyDescent="0.3">
      <c r="A10" t="s">
        <v>129</v>
      </c>
      <c r="B10" t="s">
        <v>230</v>
      </c>
      <c r="C10" t="s">
        <v>231</v>
      </c>
      <c r="D10" t="s">
        <v>232</v>
      </c>
      <c r="E10" t="s">
        <v>233</v>
      </c>
    </row>
    <row r="11" spans="1:5" x14ac:dyDescent="0.3">
      <c r="A11" t="s">
        <v>42</v>
      </c>
      <c r="B11" t="s">
        <v>234</v>
      </c>
      <c r="C11" t="s">
        <v>235</v>
      </c>
      <c r="D11" t="s">
        <v>236</v>
      </c>
      <c r="E11" t="s">
        <v>237</v>
      </c>
    </row>
    <row r="12" spans="1:5" x14ac:dyDescent="0.3">
      <c r="A12" t="s">
        <v>61</v>
      </c>
      <c r="B12" t="s">
        <v>238</v>
      </c>
      <c r="C12" t="s">
        <v>239</v>
      </c>
      <c r="D12" t="s">
        <v>240</v>
      </c>
      <c r="E12" t="s">
        <v>241</v>
      </c>
    </row>
    <row r="13" spans="1:5" x14ac:dyDescent="0.3">
      <c r="A13" t="s">
        <v>131</v>
      </c>
      <c r="B13" t="s">
        <v>242</v>
      </c>
      <c r="C13" t="s">
        <v>243</v>
      </c>
      <c r="D13" t="s">
        <v>244</v>
      </c>
      <c r="E13" t="s">
        <v>245</v>
      </c>
    </row>
    <row r="14" spans="1:5" x14ac:dyDescent="0.3">
      <c r="A14" t="s">
        <v>132</v>
      </c>
      <c r="B14" t="s">
        <v>246</v>
      </c>
      <c r="C14" t="s">
        <v>247</v>
      </c>
      <c r="D14" t="s">
        <v>248</v>
      </c>
      <c r="E14" t="s">
        <v>249</v>
      </c>
    </row>
    <row r="15" spans="1:5" x14ac:dyDescent="0.3">
      <c r="A15" t="s">
        <v>133</v>
      </c>
      <c r="B15" t="s">
        <v>250</v>
      </c>
      <c r="C15" t="s">
        <v>152</v>
      </c>
      <c r="D15" t="s">
        <v>251</v>
      </c>
      <c r="E15" t="s">
        <v>252</v>
      </c>
    </row>
    <row r="16" spans="1:5" x14ac:dyDescent="0.3">
      <c r="A16" t="s">
        <v>44</v>
      </c>
      <c r="B16" t="s">
        <v>253</v>
      </c>
      <c r="C16" t="s">
        <v>254</v>
      </c>
      <c r="D16" t="s">
        <v>255</v>
      </c>
      <c r="E16" t="s">
        <v>256</v>
      </c>
    </row>
    <row r="17" spans="1:5" x14ac:dyDescent="0.3">
      <c r="A17" t="s">
        <v>47</v>
      </c>
      <c r="B17" t="s">
        <v>257</v>
      </c>
      <c r="C17" t="s">
        <v>258</v>
      </c>
      <c r="D17" t="s">
        <v>259</v>
      </c>
      <c r="E17" t="s">
        <v>260</v>
      </c>
    </row>
    <row r="18" spans="1:5" x14ac:dyDescent="0.3">
      <c r="A18" t="s">
        <v>135</v>
      </c>
      <c r="B18" t="s">
        <v>140</v>
      </c>
      <c r="C18" t="s">
        <v>189</v>
      </c>
      <c r="D18" t="s">
        <v>143</v>
      </c>
      <c r="E18" t="s">
        <v>261</v>
      </c>
    </row>
    <row r="19" spans="1:5" x14ac:dyDescent="0.3">
      <c r="A19" t="s">
        <v>67</v>
      </c>
      <c r="B19" t="s">
        <v>141</v>
      </c>
      <c r="C19" t="s">
        <v>262</v>
      </c>
      <c r="D19" t="s">
        <v>263</v>
      </c>
      <c r="E19" t="s">
        <v>264</v>
      </c>
    </row>
    <row r="20" spans="1:5" x14ac:dyDescent="0.3">
      <c r="A20" t="s">
        <v>73</v>
      </c>
      <c r="B20" t="s">
        <v>265</v>
      </c>
      <c r="C20" t="s">
        <v>142</v>
      </c>
      <c r="D20" t="s">
        <v>134</v>
      </c>
      <c r="E20" t="s">
        <v>266</v>
      </c>
    </row>
    <row r="21" spans="1:5" x14ac:dyDescent="0.3">
      <c r="A21" t="s">
        <v>101</v>
      </c>
      <c r="B21" t="s">
        <v>267</v>
      </c>
      <c r="C21" t="s">
        <v>74</v>
      </c>
      <c r="D21" t="s">
        <v>268</v>
      </c>
      <c r="E21" t="s">
        <v>269</v>
      </c>
    </row>
    <row r="22" spans="1:5" x14ac:dyDescent="0.3">
      <c r="A22" t="s">
        <v>137</v>
      </c>
      <c r="B22" t="s">
        <v>30</v>
      </c>
      <c r="C22" t="s">
        <v>30</v>
      </c>
      <c r="D22" t="s">
        <v>30</v>
      </c>
      <c r="E22" t="s">
        <v>30</v>
      </c>
    </row>
    <row r="23" spans="1:5" x14ac:dyDescent="0.3">
      <c r="A23" t="s">
        <v>126</v>
      </c>
      <c r="B23" t="s">
        <v>270</v>
      </c>
      <c r="C23" t="s">
        <v>271</v>
      </c>
      <c r="D23" t="s">
        <v>272</v>
      </c>
      <c r="E23" t="s">
        <v>138</v>
      </c>
    </row>
    <row r="24" spans="1:5" x14ac:dyDescent="0.3">
      <c r="A24" t="s">
        <v>139</v>
      </c>
      <c r="B24" t="s">
        <v>273</v>
      </c>
      <c r="C24" t="s">
        <v>274</v>
      </c>
      <c r="D24" t="s">
        <v>275</v>
      </c>
      <c r="E24" t="s">
        <v>276</v>
      </c>
    </row>
    <row r="25" spans="1:5" x14ac:dyDescent="0.3">
      <c r="A25" t="s">
        <v>42</v>
      </c>
      <c r="B25" t="s">
        <v>277</v>
      </c>
      <c r="C25" t="s">
        <v>278</v>
      </c>
      <c r="D25" t="s">
        <v>279</v>
      </c>
      <c r="E25" t="s">
        <v>237</v>
      </c>
    </row>
    <row r="26" spans="1:5" x14ac:dyDescent="0.3">
      <c r="A26" t="s">
        <v>61</v>
      </c>
      <c r="B26" t="s">
        <v>280</v>
      </c>
      <c r="C26" t="s">
        <v>281</v>
      </c>
      <c r="D26" t="s">
        <v>240</v>
      </c>
      <c r="E26" t="s">
        <v>282</v>
      </c>
    </row>
    <row r="27" spans="1:5" x14ac:dyDescent="0.3">
      <c r="A27" t="s">
        <v>44</v>
      </c>
      <c r="B27" t="s">
        <v>283</v>
      </c>
      <c r="C27" t="s">
        <v>284</v>
      </c>
      <c r="D27" t="s">
        <v>285</v>
      </c>
      <c r="E27" t="s">
        <v>286</v>
      </c>
    </row>
    <row r="28" spans="1:5" x14ac:dyDescent="0.3">
      <c r="A28" t="s">
        <v>47</v>
      </c>
      <c r="B28" t="s">
        <v>287</v>
      </c>
      <c r="C28" t="s">
        <v>288</v>
      </c>
      <c r="D28" t="s">
        <v>289</v>
      </c>
      <c r="E28" t="s">
        <v>290</v>
      </c>
    </row>
    <row r="29" spans="1:5" x14ac:dyDescent="0.3">
      <c r="A29" t="s">
        <v>135</v>
      </c>
      <c r="B29" t="s">
        <v>291</v>
      </c>
      <c r="C29" t="s">
        <v>187</v>
      </c>
      <c r="D29" t="s">
        <v>292</v>
      </c>
      <c r="E29" t="s">
        <v>293</v>
      </c>
    </row>
    <row r="30" spans="1:5" x14ac:dyDescent="0.3">
      <c r="A30" t="s">
        <v>67</v>
      </c>
      <c r="B30" t="s">
        <v>294</v>
      </c>
      <c r="C30" t="s">
        <v>136</v>
      </c>
      <c r="D30" t="s">
        <v>295</v>
      </c>
      <c r="E30" t="s">
        <v>296</v>
      </c>
    </row>
    <row r="31" spans="1:5" x14ac:dyDescent="0.3">
      <c r="A31" t="s">
        <v>73</v>
      </c>
      <c r="B31" t="s">
        <v>297</v>
      </c>
      <c r="C31" t="s">
        <v>298</v>
      </c>
      <c r="D31" t="s">
        <v>130</v>
      </c>
      <c r="E31" t="s">
        <v>299</v>
      </c>
    </row>
    <row r="32" spans="1:5" x14ac:dyDescent="0.3">
      <c r="A32" t="s">
        <v>144</v>
      </c>
      <c r="B32" t="s">
        <v>145</v>
      </c>
      <c r="C32" t="s">
        <v>300</v>
      </c>
      <c r="D32" t="s">
        <v>301</v>
      </c>
      <c r="E32" t="s">
        <v>302</v>
      </c>
    </row>
    <row r="33" spans="1:5" x14ac:dyDescent="0.3">
      <c r="A33" t="s">
        <v>146</v>
      </c>
      <c r="B33" t="s">
        <v>30</v>
      </c>
      <c r="C33" t="s">
        <v>30</v>
      </c>
      <c r="D33" t="s">
        <v>30</v>
      </c>
      <c r="E33" t="s">
        <v>30</v>
      </c>
    </row>
    <row r="34" spans="1:5" x14ac:dyDescent="0.3">
      <c r="A34" t="s">
        <v>147</v>
      </c>
      <c r="B34" t="s">
        <v>30</v>
      </c>
      <c r="C34" t="s">
        <v>30</v>
      </c>
      <c r="D34" t="s">
        <v>30</v>
      </c>
      <c r="E34" t="s">
        <v>30</v>
      </c>
    </row>
    <row r="35" spans="1:5" x14ac:dyDescent="0.3">
      <c r="A35" t="s">
        <v>148</v>
      </c>
      <c r="B35" t="s">
        <v>303</v>
      </c>
      <c r="C35" t="s">
        <v>304</v>
      </c>
      <c r="D35" t="s">
        <v>305</v>
      </c>
      <c r="E35" t="s">
        <v>265</v>
      </c>
    </row>
    <row r="36" spans="1:5" x14ac:dyDescent="0.3">
      <c r="A36" t="s">
        <v>149</v>
      </c>
      <c r="B36" t="s">
        <v>306</v>
      </c>
      <c r="C36" t="s">
        <v>307</v>
      </c>
      <c r="D36" t="s">
        <v>308</v>
      </c>
      <c r="E36" t="s">
        <v>309</v>
      </c>
    </row>
    <row r="37" spans="1:5" x14ac:dyDescent="0.3">
      <c r="A37" t="s">
        <v>150</v>
      </c>
      <c r="B37" t="s">
        <v>310</v>
      </c>
      <c r="C37" t="s">
        <v>311</v>
      </c>
      <c r="D37" t="s">
        <v>312</v>
      </c>
      <c r="E37" t="s">
        <v>309</v>
      </c>
    </row>
    <row r="38" spans="1:5" x14ac:dyDescent="0.3">
      <c r="A38" t="s">
        <v>151</v>
      </c>
      <c r="B38" t="s">
        <v>313</v>
      </c>
      <c r="C38" t="s">
        <v>314</v>
      </c>
      <c r="D38" t="s">
        <v>315</v>
      </c>
      <c r="E38" t="s">
        <v>316</v>
      </c>
    </row>
    <row r="39" spans="1:5" x14ac:dyDescent="0.3">
      <c r="A39" t="s">
        <v>153</v>
      </c>
      <c r="B39" t="s">
        <v>30</v>
      </c>
      <c r="C39" t="s">
        <v>30</v>
      </c>
      <c r="D39" t="s">
        <v>30</v>
      </c>
      <c r="E39" t="s">
        <v>30</v>
      </c>
    </row>
    <row r="40" spans="1:5" x14ac:dyDescent="0.3">
      <c r="A40" t="s">
        <v>51</v>
      </c>
      <c r="B40" t="s">
        <v>154</v>
      </c>
      <c r="C40" t="s">
        <v>155</v>
      </c>
      <c r="D40" t="s">
        <v>156</v>
      </c>
      <c r="E40" t="s">
        <v>157</v>
      </c>
    </row>
    <row r="41" spans="1:5" x14ac:dyDescent="0.3">
      <c r="A41" t="s">
        <v>158</v>
      </c>
      <c r="B41" t="s">
        <v>156</v>
      </c>
      <c r="C41" t="s">
        <v>186</v>
      </c>
      <c r="D41" t="s">
        <v>317</v>
      </c>
      <c r="E41" t="s">
        <v>318</v>
      </c>
    </row>
    <row r="42" spans="1:5" x14ac:dyDescent="0.3">
      <c r="A42" t="s">
        <v>84</v>
      </c>
      <c r="B42" t="s">
        <v>184</v>
      </c>
      <c r="C42" t="s">
        <v>185</v>
      </c>
      <c r="D42" t="s">
        <v>319</v>
      </c>
      <c r="E42" t="s">
        <v>320</v>
      </c>
    </row>
    <row r="43" spans="1:5" x14ac:dyDescent="0.3">
      <c r="A43" t="s">
        <v>159</v>
      </c>
      <c r="B43" t="s">
        <v>321</v>
      </c>
      <c r="C43" t="s">
        <v>80</v>
      </c>
      <c r="D43" t="s">
        <v>322</v>
      </c>
      <c r="E43" t="s">
        <v>323</v>
      </c>
    </row>
    <row r="44" spans="1:5" x14ac:dyDescent="0.3">
      <c r="A44" t="s">
        <v>160</v>
      </c>
      <c r="B44" t="s">
        <v>205</v>
      </c>
      <c r="C44" t="s">
        <v>324</v>
      </c>
      <c r="D44" t="s">
        <v>161</v>
      </c>
      <c r="E44" t="s">
        <v>162</v>
      </c>
    </row>
    <row r="45" spans="1:5" x14ac:dyDescent="0.3">
      <c r="A45" t="s">
        <v>163</v>
      </c>
      <c r="B45" t="s">
        <v>325</v>
      </c>
      <c r="C45" t="s">
        <v>326</v>
      </c>
      <c r="D45" t="s">
        <v>327</v>
      </c>
      <c r="E45" t="s">
        <v>328</v>
      </c>
    </row>
    <row r="46" spans="1:5" x14ac:dyDescent="0.3">
      <c r="A46" t="s">
        <v>164</v>
      </c>
      <c r="B46" t="s">
        <v>165</v>
      </c>
      <c r="C46" t="s">
        <v>166</v>
      </c>
      <c r="D46" t="s">
        <v>167</v>
      </c>
      <c r="E46" t="s">
        <v>168</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2D34C-F1F8-4C98-99F1-5011792477F0}">
  <dimension ref="A1:D7"/>
  <sheetViews>
    <sheetView workbookViewId="0"/>
  </sheetViews>
  <sheetFormatPr defaultRowHeight="14.4" x14ac:dyDescent="0.3"/>
  <cols>
    <col min="1" max="1" width="64.5546875" bestFit="1" customWidth="1"/>
    <col min="2" max="2" width="26.88671875" bestFit="1" customWidth="1"/>
    <col min="3" max="3" width="30.6640625" bestFit="1" customWidth="1"/>
    <col min="4" max="4" width="21" bestFit="1" customWidth="1"/>
  </cols>
  <sheetData>
    <row r="1" spans="1:4" x14ac:dyDescent="0.3">
      <c r="A1" t="s">
        <v>33</v>
      </c>
      <c r="B1" t="s">
        <v>193</v>
      </c>
      <c r="C1" t="s">
        <v>194</v>
      </c>
      <c r="D1" t="s">
        <v>195</v>
      </c>
    </row>
    <row r="2" spans="1:4" x14ac:dyDescent="0.3">
      <c r="A2" t="s">
        <v>196</v>
      </c>
      <c r="B2" t="s">
        <v>197</v>
      </c>
      <c r="C2" t="s">
        <v>198</v>
      </c>
      <c r="D2" t="s">
        <v>199</v>
      </c>
    </row>
    <row r="3" spans="1:4" x14ac:dyDescent="0.3">
      <c r="A3" t="s">
        <v>190</v>
      </c>
      <c r="B3" t="s">
        <v>200</v>
      </c>
      <c r="C3" t="s">
        <v>201</v>
      </c>
      <c r="D3" t="s">
        <v>199</v>
      </c>
    </row>
    <row r="4" spans="1:4" x14ac:dyDescent="0.3">
      <c r="A4" t="s">
        <v>159</v>
      </c>
      <c r="B4" t="s">
        <v>202</v>
      </c>
      <c r="C4" t="s">
        <v>203</v>
      </c>
      <c r="D4" t="s">
        <v>199</v>
      </c>
    </row>
    <row r="5" spans="1:4" x14ac:dyDescent="0.3">
      <c r="A5" t="s">
        <v>204</v>
      </c>
      <c r="B5" t="s">
        <v>205</v>
      </c>
      <c r="C5" t="s">
        <v>206</v>
      </c>
      <c r="D5" t="s">
        <v>199</v>
      </c>
    </row>
    <row r="6" spans="1:4" x14ac:dyDescent="0.3">
      <c r="A6" t="s">
        <v>207</v>
      </c>
      <c r="B6" t="s">
        <v>208</v>
      </c>
      <c r="C6" t="s">
        <v>209</v>
      </c>
      <c r="D6" t="s">
        <v>199</v>
      </c>
    </row>
    <row r="7" spans="1:4" x14ac:dyDescent="0.3">
      <c r="A7" t="s">
        <v>210</v>
      </c>
      <c r="B7" t="s">
        <v>211</v>
      </c>
      <c r="C7" t="s">
        <v>212</v>
      </c>
      <c r="D7" t="s">
        <v>199</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EAE1B-48F3-4EA1-8097-1F25A68B48B6}">
  <dimension ref="A1:D21"/>
  <sheetViews>
    <sheetView workbookViewId="0">
      <selection activeCell="A21" sqref="A21"/>
    </sheetView>
  </sheetViews>
  <sheetFormatPr defaultRowHeight="14.4" x14ac:dyDescent="0.3"/>
  <cols>
    <col min="1" max="1" width="64.5546875" bestFit="1" customWidth="1"/>
    <col min="2" max="4" width="21.88671875" bestFit="1" customWidth="1"/>
  </cols>
  <sheetData>
    <row r="1" spans="1:4" x14ac:dyDescent="0.3">
      <c r="A1" t="s">
        <v>33</v>
      </c>
      <c r="B1" t="s">
        <v>329</v>
      </c>
      <c r="C1" t="s">
        <v>330</v>
      </c>
      <c r="D1" t="s">
        <v>331</v>
      </c>
    </row>
    <row r="2" spans="1:4" x14ac:dyDescent="0.3">
      <c r="A2" t="s">
        <v>332</v>
      </c>
      <c r="B2" t="s">
        <v>333</v>
      </c>
      <c r="C2" t="s">
        <v>334</v>
      </c>
      <c r="D2" t="s">
        <v>335</v>
      </c>
    </row>
    <row r="3" spans="1:4" x14ac:dyDescent="0.3">
      <c r="A3" t="s">
        <v>190</v>
      </c>
      <c r="B3" t="s">
        <v>336</v>
      </c>
      <c r="C3" t="s">
        <v>337</v>
      </c>
      <c r="D3" t="s">
        <v>338</v>
      </c>
    </row>
    <row r="4" spans="1:4" x14ac:dyDescent="0.3">
      <c r="A4" t="s">
        <v>339</v>
      </c>
      <c r="B4" t="s">
        <v>340</v>
      </c>
      <c r="C4" t="s">
        <v>341</v>
      </c>
      <c r="D4" t="s">
        <v>341</v>
      </c>
    </row>
    <row r="5" spans="1:4" x14ac:dyDescent="0.3">
      <c r="A5" t="s">
        <v>342</v>
      </c>
      <c r="B5" t="s">
        <v>343</v>
      </c>
      <c r="C5" t="s">
        <v>344</v>
      </c>
      <c r="D5" t="s">
        <v>344</v>
      </c>
    </row>
    <row r="6" spans="1:4" x14ac:dyDescent="0.3">
      <c r="A6" t="s">
        <v>345</v>
      </c>
      <c r="B6" t="s">
        <v>346</v>
      </c>
      <c r="C6" t="s">
        <v>347</v>
      </c>
      <c r="D6" t="s">
        <v>348</v>
      </c>
    </row>
    <row r="7" spans="1:4" x14ac:dyDescent="0.3">
      <c r="A7" s="4" t="s">
        <v>73</v>
      </c>
      <c r="B7" t="s">
        <v>349</v>
      </c>
      <c r="C7" t="s">
        <v>349</v>
      </c>
      <c r="D7" t="s">
        <v>349</v>
      </c>
    </row>
    <row r="21" spans="1:2" x14ac:dyDescent="0.3">
      <c r="A21" t="s">
        <v>401</v>
      </c>
      <c r="B21" t="s">
        <v>400</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E2C31-7FD8-4071-BD29-A42B1425BAF1}">
  <dimension ref="A1:C6"/>
  <sheetViews>
    <sheetView workbookViewId="0">
      <selection activeCell="E8" sqref="E8"/>
    </sheetView>
  </sheetViews>
  <sheetFormatPr defaultRowHeight="14.4" x14ac:dyDescent="0.3"/>
  <cols>
    <col min="1" max="1" width="51.88671875" bestFit="1" customWidth="1"/>
    <col min="2" max="3" width="20.21875" bestFit="1" customWidth="1"/>
  </cols>
  <sheetData>
    <row r="1" spans="1:3" x14ac:dyDescent="0.3">
      <c r="A1" t="s">
        <v>21</v>
      </c>
      <c r="B1" t="s">
        <v>85</v>
      </c>
      <c r="C1" t="s">
        <v>86</v>
      </c>
    </row>
    <row r="2" spans="1:3" x14ac:dyDescent="0.3">
      <c r="A2" t="s">
        <v>87</v>
      </c>
      <c r="B2">
        <v>383494</v>
      </c>
      <c r="C2">
        <v>289321</v>
      </c>
    </row>
    <row r="3" spans="1:3" x14ac:dyDescent="0.3">
      <c r="A3" t="s">
        <v>88</v>
      </c>
      <c r="B3">
        <v>60808</v>
      </c>
      <c r="C3">
        <v>57466</v>
      </c>
    </row>
    <row r="4" spans="1:3" x14ac:dyDescent="0.3">
      <c r="A4" t="s">
        <v>89</v>
      </c>
      <c r="B4">
        <v>23462</v>
      </c>
      <c r="C4">
        <v>-5148</v>
      </c>
    </row>
    <row r="5" spans="1:3" x14ac:dyDescent="0.3">
      <c r="A5" t="s">
        <v>90</v>
      </c>
      <c r="B5">
        <v>84270</v>
      </c>
      <c r="C5">
        <v>52318</v>
      </c>
    </row>
    <row r="6" spans="1:3" x14ac:dyDescent="0.3">
      <c r="A6" t="s">
        <v>91</v>
      </c>
      <c r="B6">
        <v>467764</v>
      </c>
      <c r="C6">
        <v>341639</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4739F-5912-4F53-93BE-0589234FA9CA}">
  <dimension ref="A1:C2"/>
  <sheetViews>
    <sheetView workbookViewId="0">
      <selection activeCell="G12" sqref="G12"/>
    </sheetView>
  </sheetViews>
  <sheetFormatPr defaultRowHeight="14.4" x14ac:dyDescent="0.3"/>
  <cols>
    <col min="1" max="1" width="20.33203125" bestFit="1" customWidth="1"/>
    <col min="2" max="2" width="36.5546875" bestFit="1" customWidth="1"/>
    <col min="3" max="3" width="6.21875" bestFit="1" customWidth="1"/>
  </cols>
  <sheetData>
    <row r="1" spans="1:3" x14ac:dyDescent="0.3">
      <c r="A1" s="4" t="s">
        <v>550</v>
      </c>
      <c r="B1" s="4" t="s">
        <v>549</v>
      </c>
      <c r="C1" s="4" t="s">
        <v>548</v>
      </c>
    </row>
    <row r="2" spans="1:3" x14ac:dyDescent="0.3">
      <c r="A2" t="s">
        <v>547</v>
      </c>
      <c r="B2" t="s">
        <v>546</v>
      </c>
      <c r="C2" t="s">
        <v>545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CDFFDB8-0E3F-4E7B-BA31-4DB888728B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Introduction</vt:lpstr>
      <vt:lpstr>Assumptions &amp; Methodology</vt:lpstr>
      <vt:lpstr>Contents</vt:lpstr>
      <vt:lpstr>Financials</vt:lpstr>
      <vt:lpstr>Market Data</vt:lpstr>
      <vt:lpstr>Valuation</vt:lpstr>
      <vt:lpstr>Inputs</vt:lpstr>
      <vt:lpstr>Residual Income Valuation</vt:lpstr>
      <vt:lpstr>Valuation Summary</vt:lpstr>
      <vt:lpstr>Sensitivity Analysis</vt:lpstr>
      <vt:lpstr>Financial Summary (1)</vt:lpstr>
      <vt:lpstr>Shares outstanding</vt:lpstr>
      <vt:lpstr>Balance Sheet </vt:lpstr>
      <vt:lpstr>Financial Metrics</vt:lpstr>
      <vt:lpstr>Income statement 2023</vt:lpstr>
      <vt:lpstr>Income Statement 2024</vt:lpstr>
      <vt:lpstr>Financial Summary (2)</vt:lpstr>
      <vt:lpstr>Previous ROE</vt:lpstr>
      <vt:lpstr>Projected ROE</vt:lpstr>
      <vt:lpstr>Bad Debts</vt:lpstr>
      <vt:lpstr>Error 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Aiswariya Babu</cp:lastModifiedBy>
  <dcterms:created xsi:type="dcterms:W3CDTF">2025-12-14T23:54:20Z</dcterms:created>
  <dcterms:modified xsi:type="dcterms:W3CDTF">2025-12-30T19:13:58Z</dcterms:modified>
</cp:coreProperties>
</file>