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ssumptions &amp; Methodology" sheetId="1" state="visible" r:id="rId1"/>
    <sheet xmlns:r="http://schemas.openxmlformats.org/officeDocument/2006/relationships" name="Introduction" sheetId="2" state="visible" r:id="rId2"/>
    <sheet xmlns:r="http://schemas.openxmlformats.org/officeDocument/2006/relationships" name="Contents" sheetId="3" state="visible" r:id="rId3"/>
    <sheet xmlns:r="http://schemas.openxmlformats.org/officeDocument/2006/relationships" name="Financials" sheetId="4" state="visible" r:id="rId4"/>
    <sheet xmlns:r="http://schemas.openxmlformats.org/officeDocument/2006/relationships" name="Market Data" sheetId="5" state="visible" r:id="rId5"/>
    <sheet xmlns:r="http://schemas.openxmlformats.org/officeDocument/2006/relationships" name="Valuation" sheetId="6" state="visible" r:id="rId6"/>
    <sheet xmlns:r="http://schemas.openxmlformats.org/officeDocument/2006/relationships" name="Inputs" sheetId="7" state="visible" r:id="rId7"/>
    <sheet xmlns:r="http://schemas.openxmlformats.org/officeDocument/2006/relationships" name="Residual Income Valuation" sheetId="8" state="visible" r:id="rId8"/>
    <sheet xmlns:r="http://schemas.openxmlformats.org/officeDocument/2006/relationships" name="Valuation Summary" sheetId="9" state="visible" r:id="rId9"/>
    <sheet xmlns:r="http://schemas.openxmlformats.org/officeDocument/2006/relationships" name="Sensitivity Analysis" sheetId="10" state="visible" r:id="rId10"/>
    <sheet xmlns:r="http://schemas.openxmlformats.org/officeDocument/2006/relationships" name="Financial Summary (A)" sheetId="11" state="visible" r:id="rId11"/>
    <sheet xmlns:r="http://schemas.openxmlformats.org/officeDocument/2006/relationships" name="Shares outstanding" sheetId="12" state="visible" r:id="rId12"/>
    <sheet xmlns:r="http://schemas.openxmlformats.org/officeDocument/2006/relationships" name="Balance Sheet" sheetId="13" state="visible" r:id="rId13"/>
    <sheet xmlns:r="http://schemas.openxmlformats.org/officeDocument/2006/relationships" name="Financial Metrics" sheetId="14" state="visible" r:id="rId14"/>
    <sheet xmlns:r="http://schemas.openxmlformats.org/officeDocument/2006/relationships" name="Income statement 2023" sheetId="15" state="visible" r:id="rId15"/>
    <sheet xmlns:r="http://schemas.openxmlformats.org/officeDocument/2006/relationships" name="Income Statement 2024" sheetId="16" state="visible" r:id="rId16"/>
    <sheet xmlns:r="http://schemas.openxmlformats.org/officeDocument/2006/relationships" name="Financial Summary (2)" sheetId="17" state="visible" r:id="rId17"/>
    <sheet xmlns:r="http://schemas.openxmlformats.org/officeDocument/2006/relationships" name="Previous ROE" sheetId="18" state="visible" r:id="rId18"/>
    <sheet xmlns:r="http://schemas.openxmlformats.org/officeDocument/2006/relationships" name="Projected ROE" sheetId="19" state="visible" r:id="rId19"/>
    <sheet xmlns:r="http://schemas.openxmlformats.org/officeDocument/2006/relationships" name="Bad Debts" sheetId="20" state="visible" r:id="rId20"/>
    <sheet xmlns:r="http://schemas.openxmlformats.org/officeDocument/2006/relationships" name="Error Checks" sheetId="21" state="visible" r:id="rId21"/>
  </sheets>
  <definedNames>
    <definedName name="_xlnm._FilterDatabase" localSheetId="2" hidden="1">'Contents'!$A$1:$A$17</definedName>
    <definedName name="ExternalData_1" localSheetId="10" hidden="1">'Financial Summary (A)'!$A$1:$F$19</definedName>
    <definedName name="ExternalData_45" localSheetId="12" hidden="1">'Balance Sheet '!$A$1:$C$32</definedName>
    <definedName name="ExternalData_8" localSheetId="13" hidden="1">'Financial Metrics'!$A$1:$F$20</definedName>
    <definedName name="ExternalData_6" localSheetId="14" hidden="1">'Income statement 2023'!$A$1:$E$19</definedName>
    <definedName name="ExternalData_5" localSheetId="15" hidden="1">'Income Statement 2024'!$A$1:$E$19</definedName>
    <definedName name="ExternalData_4" localSheetId="16" hidden="1">'Financial Summary (2)'!$A$1:$E$46</definedName>
    <definedName name="ExternalData_2" localSheetId="17" hidden="1">'Previous ROE'!$A$1:$D$7</definedName>
    <definedName name="ExternalData_3" localSheetId="18" hidden="1">'Projected ROE'!$A$1:$D$7</definedName>
    <definedName name="ExternalData_7" localSheetId="19" hidden="1">'Bad Debts'!$A$1:$C$6</definedName>
  </definedNames>
  <calcPr calcId="191029" fullCalcOnLoad="1"/>
</workbook>
</file>

<file path=xl/styles.xml><?xml version="1.0" encoding="utf-8"?>
<styleSheet xmlns="http://schemas.openxmlformats.org/spreadsheetml/2006/main">
  <numFmts count="2">
    <numFmt numFmtId="164" formatCode="_-&quot;$&quot;* #,##0.00_-;\-&quot;$&quot;* #,##0.00_-;_-&quot;$&quot;* &quot;-&quot;??_-;_-@_-"/>
    <numFmt numFmtId="165" formatCode="&quot;$&quot;#,##0.00;[Red]\-&quot;$&quot;#,##0.00"/>
  </numFmts>
  <fonts count="16">
    <font>
      <name val="Calibri"/>
      <family val="2"/>
      <color theme="1"/>
      <sz val="11"/>
      <scheme val="minor"/>
    </font>
    <font>
      <name val="Calibri"/>
      <family val="2"/>
      <color theme="1"/>
      <sz val="11"/>
      <scheme val="minor"/>
    </font>
    <font>
      <name val="Calibri"/>
      <family val="2"/>
      <color rgb="FF006100"/>
      <sz val="11"/>
      <scheme val="minor"/>
    </font>
    <font>
      <name val="Calibri"/>
      <family val="2"/>
      <b val="1"/>
      <color theme="1"/>
      <sz val="11"/>
      <scheme val="minor"/>
    </font>
    <font>
      <name val="Arial"/>
      <family val="2"/>
      <color theme="1"/>
      <sz val="11"/>
    </font>
    <font>
      <name val="Cambria"/>
      <family val="2"/>
      <color theme="3"/>
      <sz val="18"/>
      <scheme val="major"/>
    </font>
    <font>
      <name val="Calibri"/>
      <family val="2"/>
      <i val="1"/>
      <color rgb="FF7F7F7F"/>
      <sz val="11"/>
      <scheme val="minor"/>
    </font>
    <font>
      <name val="Calibri"/>
      <family val="2"/>
      <color theme="10"/>
      <sz val="11"/>
      <u val="single"/>
      <scheme val="minor"/>
    </font>
    <font>
      <name val="Calibri"/>
      <family val="2"/>
      <i val="1"/>
      <color theme="1"/>
      <sz val="11"/>
      <scheme val="minor"/>
    </font>
    <font>
      <name val="Calibri"/>
      <family val="2"/>
      <b val="1"/>
      <color theme="7" tint="-0.249977111117893"/>
      <sz val="11"/>
      <scheme val="minor"/>
    </font>
    <font>
      <name val="Calibri"/>
      <family val="2"/>
      <color theme="7" tint="-0.249977111117893"/>
      <sz val="11"/>
      <scheme val="minor"/>
    </font>
    <font>
      <name val="Calibri"/>
      <family val="2"/>
      <b val="1"/>
      <i val="1"/>
      <color theme="7" tint="-0.249977111117893"/>
      <sz val="11"/>
      <scheme val="minor"/>
    </font>
    <font>
      <name val="Calibri"/>
      <family val="2"/>
      <b val="1"/>
      <i val="1"/>
      <color rgb="FF0070C0"/>
      <sz val="11"/>
      <u val="single"/>
      <scheme val="minor"/>
    </font>
    <font>
      <name val="Calibri"/>
      <family val="2"/>
      <color theme="1"/>
      <sz val="11"/>
      <u val="single"/>
      <scheme val="minor"/>
    </font>
    <font>
      <name val="Calibri"/>
      <family val="2"/>
      <b val="1"/>
      <color theme="3"/>
      <sz val="11"/>
      <scheme val="minor"/>
    </font>
    <font>
      <name val="Cambria"/>
      <family val="2"/>
      <b val="1"/>
      <color theme="3"/>
      <sz val="18"/>
      <scheme val="major"/>
    </font>
  </fonts>
  <fills count="4">
    <fill>
      <patternFill/>
    </fill>
    <fill>
      <patternFill patternType="gray125"/>
    </fill>
    <fill>
      <patternFill patternType="solid">
        <fgColor rgb="FFC6EFCE"/>
      </patternFill>
    </fill>
    <fill>
      <patternFill patternType="solid">
        <fgColor theme="7" tint="0.7999816888943144"/>
        <bgColor theme="7" tint="0.7999816888943144"/>
      </patternFill>
    </fill>
  </fills>
  <borders count="4">
    <border>
      <left/>
      <right/>
      <top/>
      <bottom/>
      <diagonal/>
    </border>
    <border>
      <left/>
      <right/>
      <top/>
      <bottom style="double">
        <color indexed="64"/>
      </bottom>
      <diagonal/>
    </border>
    <border>
      <left/>
      <right/>
      <top style="thin">
        <color theme="7"/>
      </top>
      <bottom style="thin">
        <color theme="7"/>
      </bottom>
      <diagonal/>
    </border>
    <border>
      <left/>
      <right/>
      <top/>
      <bottom style="thin">
        <color theme="7"/>
      </bottom>
      <diagonal/>
    </border>
  </borders>
  <cellStyleXfs count="7">
    <xf numFmtId="0" fontId="1" fillId="0" borderId="0"/>
    <xf numFmtId="44" fontId="1" fillId="0" borderId="0"/>
    <xf numFmtId="0" fontId="2" fillId="2" borderId="0"/>
    <xf numFmtId="0" fontId="5" fillId="0" borderId="0"/>
    <xf numFmtId="0" fontId="6" fillId="0" borderId="0"/>
    <xf numFmtId="0" fontId="7" fillId="0" borderId="0"/>
    <xf numFmtId="0" fontId="14" fillId="0" borderId="0"/>
  </cellStyleXfs>
  <cellXfs count="46">
    <xf numFmtId="0" fontId="0" fillId="0" borderId="0" pivotButton="0" quotePrefix="0" xfId="0"/>
    <xf numFmtId="164" fontId="0" fillId="0" borderId="0" pivotButton="0" quotePrefix="0" xfId="1"/>
    <xf numFmtId="10" fontId="0" fillId="0" borderId="0" pivotButton="0" quotePrefix="0" xfId="0"/>
    <xf numFmtId="164" fontId="0" fillId="0" borderId="0" pivotButton="0" quotePrefix="0" xfId="0"/>
    <xf numFmtId="0" fontId="3" fillId="0" borderId="0" pivotButton="0" quotePrefix="0" xfId="0"/>
    <xf numFmtId="0" fontId="3" fillId="0" borderId="0" applyAlignment="1" pivotButton="0" quotePrefix="0" xfId="0">
      <alignment horizontal="left" vertical="center" indent="1"/>
    </xf>
    <xf numFmtId="4" fontId="0" fillId="0" borderId="0" pivotButton="0" quotePrefix="0" xfId="0"/>
    <xf numFmtId="0" fontId="2" fillId="2" borderId="0" pivotButton="0" quotePrefix="0" xfId="2"/>
    <xf numFmtId="2"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wrapText="1"/>
    </xf>
    <xf numFmtId="0" fontId="4" fillId="0" borderId="0" applyAlignment="1" pivotButton="0" quotePrefix="0" xfId="0">
      <alignment vertical="center"/>
    </xf>
    <xf numFmtId="0" fontId="0" fillId="0" borderId="0" applyAlignment="1" pivotButton="0" quotePrefix="0" xfId="0">
      <alignment vertical="center"/>
    </xf>
    <xf numFmtId="3" fontId="0" fillId="0" borderId="0" applyAlignment="1" pivotButton="0" quotePrefix="0" xfId="0">
      <alignment wrapText="1"/>
    </xf>
    <xf numFmtId="0" fontId="0" fillId="0" borderId="0" applyAlignment="1" pivotButton="0" quotePrefix="0" xfId="0">
      <alignment horizontal="left" vertical="center" indent="1"/>
    </xf>
    <xf numFmtId="0" fontId="3" fillId="0" borderId="1" pivotButton="0" quotePrefix="0" xfId="0"/>
    <xf numFmtId="3" fontId="3" fillId="0" borderId="1" pivotButton="0" quotePrefix="0" xfId="0"/>
    <xf numFmtId="165" fontId="3" fillId="0" borderId="1" pivotButton="0" quotePrefix="0" xfId="0"/>
    <xf numFmtId="0" fontId="7" fillId="0" borderId="0" pivotButton="0" quotePrefix="0" xfId="5"/>
    <xf numFmtId="0" fontId="5" fillId="0" borderId="0" pivotButton="0" quotePrefix="0" xfId="3"/>
    <xf numFmtId="0" fontId="8" fillId="0" borderId="0" applyAlignment="1" pivotButton="0" quotePrefix="0" xfId="4">
      <alignment wrapText="1"/>
    </xf>
    <xf numFmtId="1" fontId="9" fillId="0" borderId="2" applyAlignment="1" pivotButton="0" quotePrefix="0" xfId="0">
      <alignment horizontal="left"/>
    </xf>
    <xf numFmtId="1" fontId="10" fillId="3" borderId="3" applyAlignment="1" pivotButton="0" quotePrefix="0" xfId="0">
      <alignment horizontal="left"/>
    </xf>
    <xf numFmtId="1" fontId="0" fillId="0" borderId="0" applyAlignment="1" pivotButton="0" quotePrefix="0" xfId="0">
      <alignment horizontal="left"/>
    </xf>
    <xf numFmtId="1" fontId="11" fillId="3" borderId="0" applyAlignment="1" pivotButton="0" quotePrefix="0" xfId="0">
      <alignment horizontal="left"/>
    </xf>
    <xf numFmtId="1" fontId="11" fillId="0" borderId="0" applyAlignment="1" pivotButton="0" quotePrefix="0" xfId="0">
      <alignment horizontal="left"/>
    </xf>
    <xf numFmtId="0" fontId="12" fillId="0" borderId="0" pivotButton="0" quotePrefix="0" xfId="5"/>
    <xf numFmtId="0" fontId="13" fillId="0" borderId="0" pivotButton="0" quotePrefix="0" xfId="5"/>
    <xf numFmtId="0" fontId="0" fillId="0" borderId="0" applyAlignment="1" pivotButton="0" quotePrefix="0" xfId="0">
      <alignment vertical="center" wrapText="1"/>
    </xf>
    <xf numFmtId="0" fontId="3" fillId="0" borderId="0" applyAlignment="1" pivotButton="0" quotePrefix="0" xfId="0">
      <alignment horizontal="center" vertical="center" wrapText="1"/>
    </xf>
    <xf numFmtId="9" fontId="3" fillId="0" borderId="0" applyAlignment="1" pivotButton="0" quotePrefix="0" xfId="0">
      <alignment vertical="center" wrapText="1"/>
    </xf>
    <xf numFmtId="0" fontId="3" fillId="0" borderId="0" applyAlignment="1" pivotButton="0" quotePrefix="0" xfId="0">
      <alignment vertical="center" wrapText="1"/>
    </xf>
    <xf numFmtId="0" fontId="0" fillId="0" borderId="0" applyAlignment="1" pivotButton="0" quotePrefix="0" xfId="0">
      <alignment vertical="center" wrapText="1"/>
    </xf>
    <xf numFmtId="10" fontId="3" fillId="0" borderId="0" applyAlignment="1" pivotButton="0" quotePrefix="0" xfId="0">
      <alignment vertical="center" wrapText="1"/>
    </xf>
    <xf numFmtId="0" fontId="14" fillId="0" borderId="0" applyAlignment="1" pivotButton="0" quotePrefix="0" xfId="6">
      <alignment vertical="center" wrapText="1"/>
    </xf>
    <xf numFmtId="10" fontId="3" fillId="0" borderId="0" applyAlignment="1" pivotButton="0" quotePrefix="0" xfId="0">
      <alignment horizontal="right" vertical="center" wrapText="1"/>
    </xf>
    <xf numFmtId="0" fontId="0" fillId="0" borderId="0" applyAlignment="1" pivotButton="0" quotePrefix="0" xfId="0">
      <alignment horizontal="right" vertical="center" wrapText="1"/>
    </xf>
    <xf numFmtId="0" fontId="3" fillId="0" borderId="0" applyAlignment="1" pivotButton="0" quotePrefix="0" xfId="0">
      <alignment horizontal="right" vertical="center" wrapText="1"/>
    </xf>
    <xf numFmtId="0" fontId="15" fillId="0" borderId="0" pivotButton="0" quotePrefix="0" xfId="3"/>
    <xf numFmtId="164" fontId="0" fillId="0" borderId="0" pivotButton="0" quotePrefix="0" xfId="1"/>
    <xf numFmtId="164" fontId="3" fillId="0" borderId="0" pivotButton="0" quotePrefix="0" xfId="1"/>
    <xf numFmtId="4" fontId="3" fillId="0" borderId="0" pivotButton="0" quotePrefix="0" xfId="0"/>
    <xf numFmtId="164" fontId="0" fillId="0" borderId="0" pivotButton="0" quotePrefix="0" xfId="0"/>
    <xf numFmtId="165" fontId="3" fillId="0" borderId="1" pivotButton="0" quotePrefix="0" xfId="0"/>
    <xf numFmtId="165" fontId="0" fillId="0" borderId="0" pivotButton="0" quotePrefix="0" xfId="0"/>
  </cellXfs>
  <cellStyles count="7">
    <cellStyle name="Normal" xfId="0" builtinId="0"/>
    <cellStyle name="Currency" xfId="1" builtinId="4"/>
    <cellStyle name="Good" xfId="2" builtinId="26"/>
    <cellStyle name="Title" xfId="3" builtinId="15"/>
    <cellStyle name="Explanatory Text" xfId="4" builtinId="53"/>
    <cellStyle name="Hyperlink" xfId="5" builtinId="8"/>
    <cellStyle name="Heading 4" xfId="6" builtinId="19"/>
  </cellStyles>
  <dxfs count="49">
    <dxf>
      <alignment horizontal="right" vertical="center" wrapText="1"/>
    </dxf>
    <dxf>
      <font>
        <name val="Calibri"/>
        <family val="2"/>
        <b val="1"/>
        <strike val="0"/>
        <outline val="0"/>
        <shadow val="0"/>
        <condense val="0"/>
        <color theme="1"/>
        <extend val="0"/>
        <sz val="11"/>
        <vertAlign val="baseline"/>
        <scheme val="minor"/>
      </font>
      <alignment horizontal="center" vertical="center" wrapText="1"/>
    </dxf>
    <dxf>
      <alignment horizontal="right" vertical="center" wrapText="1"/>
    </dxf>
    <dxf>
      <font>
        <name val="Calibri"/>
        <family val="2"/>
        <b val="1"/>
        <strike val="0"/>
        <outline val="0"/>
        <shadow val="0"/>
        <condense val="0"/>
        <color theme="1"/>
        <extend val="0"/>
        <sz val="11"/>
        <vertAlign val="baseline"/>
        <scheme val="minor"/>
      </font>
      <numFmt numFmtId="14" formatCode="0.00%"/>
      <alignment horizontal="general" vertical="center" wrapText="1"/>
    </dxf>
    <dxf>
      <font>
        <name val="Calibri"/>
        <family val="2"/>
        <b val="1"/>
        <strike val="0"/>
        <outline val="0"/>
        <shadow val="0"/>
        <condense val="0"/>
        <color theme="1"/>
        <extend val="0"/>
        <sz val="11"/>
        <vertAlign val="baseline"/>
        <scheme val="minor"/>
      </font>
      <alignment horizontal="center" vertical="center" wrapText="1"/>
    </dxf>
    <dxf>
      <font>
        <name val="Calibri"/>
        <family val="2"/>
        <b val="1"/>
        <strike val="0"/>
        <outline val="0"/>
        <shadow val="0"/>
        <condense val="0"/>
        <color theme="1"/>
        <extend val="0"/>
        <sz val="11"/>
        <vertAlign val="baseline"/>
        <scheme val="minor"/>
      </font>
      <alignment horizontal="center" vertical="center" wrapText="1"/>
    </dxf>
    <dxf>
      <alignment horizontal="general" vertical="center" wrapText="1"/>
    </dxf>
    <dxf>
      <alignment horizontal="general" vertical="center" wrapText="1"/>
    </dxf>
    <dxf>
      <alignment horizontal="general" vertical="center" wrapText="1"/>
    </dxf>
    <dxf>
      <alignment horizontal="general" vertical="center" wrapText="1"/>
    </dxf>
    <dxf>
      <font>
        <name val="Calibri"/>
        <family val="2"/>
        <b val="1"/>
        <strike val="0"/>
        <outline val="0"/>
        <shadow val="0"/>
        <condense val="0"/>
        <color theme="1"/>
        <extend val="0"/>
        <sz val="11"/>
        <vertAlign val="baseline"/>
        <scheme val="minor"/>
      </font>
      <alignment horizontal="general" vertical="center" wrapText="1"/>
    </dxf>
    <dxf>
      <font>
        <name val="Calibri"/>
        <family val="2"/>
        <b val="1"/>
        <strike val="0"/>
        <outline val="0"/>
        <shadow val="0"/>
        <condense val="0"/>
        <color theme="1"/>
        <extend val="0"/>
        <sz val="11"/>
        <vertAlign val="baseline"/>
        <scheme val="minor"/>
      </font>
      <alignment horizontal="center" vertical="center" wrapText="1"/>
    </dxf>
    <dxf>
      <alignment horizontal="general" vertical="center" wrapText="1"/>
    </dxf>
    <dxf>
      <font>
        <name val="Calibri"/>
        <family val="2"/>
        <b val="1"/>
        <strike val="0"/>
        <outline val="0"/>
        <shadow val="0"/>
        <condense val="0"/>
        <color theme="1"/>
        <extend val="0"/>
        <sz val="11"/>
        <vertAlign val="baseline"/>
        <scheme val="minor"/>
      </font>
      <numFmt numFmtId="13" formatCode="0%"/>
      <alignment horizontal="general" vertical="center"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numFmt numFmtId="3" formatCode="#,##0"/>
    </dxf>
    <dxf>
      <numFmt numFmtId="14" formatCode="0.00%"/>
    </dxf>
    <dxf>
      <numFmt numFmtId="0" formatCode="General"/>
    </dxf>
    <dxf>
      <numFmt numFmtId="34" formatCode="_-&quot;$&quot;* #,##0.00_-;\-&quot;$&quot;* #,##0.00_-;_-&quot;$&quot;* &quot;-&quot;??_-;_-@_-"/>
    </dxf>
    <dxf>
      <numFmt numFmtId="4" formatCode="#,##0.0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0</col>
      <colOff>0</colOff>
      <row>0</row>
      <rowOff>0</rowOff>
    </from>
    <to>
      <col>9</col>
      <colOff>457200</colOff>
      <row>22</row>
      <rowOff>107950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5943600" cy="4131310"/>
        </a:xfrm>
        <a:prstGeom xmlns:a="http://schemas.openxmlformats.org/drawingml/2006/main" prst="rect">
          <avLst/>
        </a:prstGeom>
        <a:ln xmlns:a="http://schemas.openxmlformats.org/drawingml/2006/main">
          <a:prstDash val="solid"/>
        </a:ln>
      </spPr>
    </pic>
    <clientData/>
  </twoCellAnchor>
  <twoCellAnchor editAs="oneCell">
    <from>
      <col>11</col>
      <colOff>0</colOff>
      <row>0</row>
      <rowOff>0</rowOff>
    </from>
    <to>
      <col>20</col>
      <colOff>457200</colOff>
      <row>23</row>
      <rowOff>32385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05600" y="0"/>
          <a:ext cx="5943600" cy="4238625"/>
        </a:xfrm>
        <a:prstGeom xmlns:a="http://schemas.openxmlformats.org/drawingml/2006/main" prst="rect">
          <avLst/>
        </a:prstGeom>
        <a:ln xmlns:a="http://schemas.openxmlformats.org/drawingml/2006/main">
          <a:prstDash val="solid"/>
        </a:ln>
      </spPr>
    </pic>
    <clientData/>
  </twoCellAnchor>
  <twoCellAnchor editAs="oneCell">
    <from>
      <col>22</col>
      <colOff>0</colOff>
      <row>0</row>
      <rowOff>0</rowOff>
    </from>
    <to>
      <col>31</col>
      <colOff>457200</colOff>
      <row>16</row>
      <rowOff>142240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3411200" y="0"/>
          <a:ext cx="5943600" cy="3068320"/>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9" displayName="Table9" ref="B1:C19" headerRowCount="1" totalsRowShown="0">
  <autoFilter ref="B1:C19"/>
  <tableColumns count="2">
    <tableColumn id="1" name="Name"/>
    <tableColumn id="2" name="Content"/>
  </tableColumns>
  <tableStyleInfo name="TableStyleLight5" showFirstColumn="0" showLastColumn="0" showRowStripes="1" showColumnStripes="0"/>
</table>
</file>

<file path=xl/tables/table2.xml><?xml version="1.0" encoding="utf-8"?>
<table xmlns="http://schemas.openxmlformats.org/spreadsheetml/2006/main" id="2" name="Financial_no." displayName="Financial_no." ref="A1:G6" headerRowCount="1" totalsRowShown="0">
  <autoFilter ref="A1:G6"/>
  <tableColumns count="7">
    <tableColumn id="1" name="Year"/>
    <tableColumn id="2" name="Net Income " dataCellStyle="Currency"/>
    <tableColumn id="3" name="Diluted EPS " dataCellStyle="Currency"/>
    <tableColumn id="4" name="Equity " dataCellStyle="Currency"/>
    <tableColumn id="5" name="Shares Outstanding " dataDxfId="48"/>
    <tableColumn id="6" name="BVPS " dataDxfId="47" dataCellStyle="Currency">
      <calculatedColumnFormula>Financial_no.[[#This Row],[Equity ]]/Financial_no.[[#This Row],[Shares Outstanding ]]</calculatedColumnFormula>
    </tableColumn>
    <tableColumn id="7" name="ROE (%)" dataDxfId="46"/>
  </tableColumns>
  <tableStyleInfo name="TableStyleLight20" showFirstColumn="0" showLastColumn="0" showRowStripes="1" showColumnStripes="0"/>
</table>
</file>

<file path=xl/tables/table3.xml><?xml version="1.0" encoding="utf-8"?>
<table xmlns="http://schemas.openxmlformats.org/spreadsheetml/2006/main" id="3" name="Market_Data" displayName="Market_Data" ref="A1:D6" headerRowCount="1" totalsRowShown="0">
  <autoFilter ref="A1:D6"/>
  <tableColumns count="4">
    <tableColumn id="1" name="Year"/>
    <tableColumn id="2" name="Avg Share Price " dataCellStyle="Currency"/>
    <tableColumn id="3" name="P/E">
      <calculatedColumnFormula>B2/Financials!C2</calculatedColumnFormula>
    </tableColumn>
    <tableColumn id="4" name="P/B">
      <calculatedColumnFormula>B2/Financials!F2</calculatedColumnFormula>
    </tableColumn>
  </tableColumns>
  <tableStyleInfo name="TableStyleLight20" showFirstColumn="0" showLastColumn="0" showRowStripes="1" showColumnStripes="0"/>
</table>
</file>

<file path=xl/tables/table4.xml><?xml version="1.0" encoding="utf-8"?>
<table xmlns="http://schemas.openxmlformats.org/spreadsheetml/2006/main" id="4" name="Valuation" displayName="Valuation" ref="A4:E9" headerRowCount="1" totalsRowShown="0">
  <autoFilter ref="A4:E9"/>
  <tableColumns count="5">
    <tableColumn id="1" name="Year">
      <calculatedColumnFormula>Financials!A2</calculatedColumnFormula>
    </tableColumn>
    <tableColumn id="2" name="EPS">
      <calculatedColumnFormula>Financials!C2</calculatedColumnFormula>
    </tableColumn>
    <tableColumn id="3" name="Implied Price (P/E)"/>
    <tableColumn id="4" name="BVPS">
      <calculatedColumnFormula>Financials!F2</calculatedColumnFormula>
    </tableColumn>
    <tableColumn id="5" name="Implied Price (P/B)"/>
  </tableColumns>
  <tableStyleInfo name="TableStyleMedium4" showFirstColumn="0" showLastColumn="0" showRowStripes="1" showColumnStripes="0"/>
</table>
</file>

<file path=xl/tables/table5.xml><?xml version="1.0" encoding="utf-8"?>
<table xmlns="http://schemas.openxmlformats.org/spreadsheetml/2006/main" id="5" name="Table3" displayName="Table3" ref="A1:C7" headerRowCount="1" totalsRowShown="0">
  <autoFilter ref="A1:C7"/>
  <tableColumns count="3">
    <tableColumn id="1" name="Input"/>
    <tableColumn id="2" name="Value" dataDxfId="45"/>
    <tableColumn id="3" name="Source / Rationale"/>
  </tableColumns>
  <tableStyleInfo name="TableStyleLight21" showFirstColumn="0" showLastColumn="0" showRowStripes="1" showColumnStripes="0"/>
</table>
</file>

<file path=xl/tables/table6.xml><?xml version="1.0" encoding="utf-8"?>
<table xmlns="http://schemas.openxmlformats.org/spreadsheetml/2006/main" id="6" name="Table4" displayName="Table4" ref="A1:F7" headerRowCount="1" totalsRowShown="0">
  <autoFilter ref="A1:F7"/>
  <tableColumns count="6">
    <tableColumn id="1" name="Metric (in $000s)"/>
    <tableColumn id="2" name="2024 (A)"/>
    <tableColumn id="3" name="2025 (E)" dataDxfId="44"/>
    <tableColumn id="4" name="2026 (E)" dataDxfId="43"/>
    <tableColumn id="5" name="2027 (E)" dataDxfId="42"/>
    <tableColumn id="6" name="Source / Rationale" dataDxfId="41"/>
  </tableColumns>
  <tableStyleInfo name="TableStyleLight21" showFirstColumn="0" showLastColumn="0" showRowStripes="1" showColumnStripes="0"/>
</table>
</file>

<file path=xl/tables/table7.xml><?xml version="1.0" encoding="utf-8"?>
<table xmlns="http://schemas.openxmlformats.org/spreadsheetml/2006/main" id="7" name="Table7" displayName="Table7" ref="A1:B8" headerRowCount="1" totalsRowShown="0">
  <autoFilter ref="A1:B8"/>
  <tableColumns count="2">
    <tableColumn id="1" name="Component"/>
    <tableColumn id="2" name="Amount (in $000s)" dataDxfId="40"/>
  </tableColumns>
  <tableStyleInfo name="TableStyleMedium4" showFirstColumn="0" showLastColumn="0" showRowStripes="1" showColumnStripes="0"/>
</table>
</file>

<file path=xl/tables/table8.xml><?xml version="1.0" encoding="utf-8"?>
<table xmlns="http://schemas.openxmlformats.org/spreadsheetml/2006/main" id="8" name="Table8" displayName="Table8" ref="A5:B9" headerRowCount="1" totalsRowShown="0" headerRowDxfId="11">
  <autoFilter ref="A5:B9"/>
  <tableColumns count="2">
    <tableColumn id="1" name="ROE" dataDxfId="13"/>
    <tableColumn id="2" name="Intrinsic Value/Share" dataDxfId="12"/>
  </tableColumns>
  <tableStyleInfo name="TableStyleLight9" showFirstColumn="0" showLastColumn="0" showRowStripes="1" showColumnStripes="0"/>
</table>
</file>

<file path=xl/tables/table9.xml><?xml version="1.0" encoding="utf-8"?>
<table xmlns="http://schemas.openxmlformats.org/spreadsheetml/2006/main" id="9" name="Table10" displayName="Table10" ref="A18:D21" headerRowCount="1" totalsRowShown="0" headerRowDxfId="5" dataDxfId="6">
  <autoFilter ref="A18:D21"/>
  <tableColumns count="4">
    <tableColumn id="1" name="NCO Rate" dataDxfId="10"/>
    <tableColumn id="2" name="Impact on Net Income" dataDxfId="9"/>
    <tableColumn id="3" name="Revised ROE" dataDxfId="8"/>
    <tableColumn id="4" name="Revised Value/Share" dataDxfId="7"/>
  </tableColumns>
  <tableStyleInfo name="TableStyleLight10" showFirstColumn="0" showLastColumn="0" showRowStripes="1" showColumnStripes="0"/>
</table>
</file>

<file path=xl/tables/table10.xml><?xml version="1.0" encoding="utf-8"?>
<table xmlns="http://schemas.openxmlformats.org/spreadsheetml/2006/main" id="10" name="Table11" displayName="Table11" ref="A29:B33" headerRowCount="1" totalsRowShown="0" headerRowDxfId="4">
  <autoFilter ref="A29:B33"/>
  <tableColumns count="2">
    <tableColumn id="1" name="Cost of Equity (Ke)" dataDxfId="3"/>
    <tableColumn id="2" name="Intrinsic Value/Share" dataDxfId="2"/>
  </tableColumns>
  <tableStyleInfo name="TableStyleLight9" showFirstColumn="0" showLastColumn="0" showRowStripes="1" showColumnStripes="0"/>
</table>
</file>

<file path=xl/tables/table11.xml><?xml version="1.0" encoding="utf-8"?>
<table xmlns="http://schemas.openxmlformats.org/spreadsheetml/2006/main" id="11" name="Table12" displayName="Table12" ref="A41:B44" headerRowCount="1" totalsRowShown="0" headerRowDxfId="1">
  <autoFilter ref="A41:B44"/>
  <tableColumns count="2">
    <tableColumn id="1" name="Growth Rate (g)"/>
    <tableColumn id="2" name="Intrinsic Value/Share" dataDxfId="0"/>
  </tableColumns>
  <tableStyleInfo name="TableStyleLight10" showFirstColumn="0" showLastColumn="0" showRowStripes="1" showColumnStripes="0"/>
</table>
</file>

<file path=xl/tables/table12.xml><?xml version="1.0" encoding="utf-8"?>
<table xmlns="http://schemas.openxmlformats.org/spreadsheetml/2006/main" id="12" name="Financial_Summary__A" displayName="Financial_Summary__A" ref="A1:F19" tableType="queryTable" headerRowCount="1" totalsRowShown="0">
  <autoFilter ref="A1:F19">
    <filterColumn colId="0" hiddenButton="0" showButton="1">
      <filters>
        <filter val="Diluted earnings per share"/>
        <filter val="Net income"/>
        <filter val="Shareholders’ equity"/>
      </filters>
    </filterColumn>
  </autoFilter>
  <tableColumns count="6">
    <tableColumn id="1" uniqueName="1" name="(in $000s except per share amounts,_x000a_store counts, employee counts,_x000a_percentages and ratios)" queryTableFieldId="1" dataDxfId="39"/>
    <tableColumn id="2" uniqueName="2" name="2024" queryTableFieldId="2"/>
    <tableColumn id="3" uniqueName="3" name="2023" queryTableFieldId="3"/>
    <tableColumn id="4" uniqueName="4" name="2022" queryTableFieldId="4"/>
    <tableColumn id="5" uniqueName="5" name="2021" queryTableFieldId="5"/>
    <tableColumn id="6" uniqueName="6" name="2020" queryTableFieldId="6" dataDxfId="38"/>
  </tableColumns>
  <tableStyleInfo name="TableStyleMedium7" showFirstColumn="0" showLastColumn="0" showRowStripes="1" showColumnStripes="0"/>
</table>
</file>

<file path=xl/tables/table13.xml><?xml version="1.0" encoding="utf-8"?>
<table xmlns="http://schemas.openxmlformats.org/spreadsheetml/2006/main" id="13" name="Balance_Sheet_3" displayName="Balance_Sheet_3" ref="A1:C32" tableType="queryTable" headerRowCount="1" totalsRowShown="0">
  <autoFilter ref="A1:C32">
    <filterColumn colId="0" hiddenButton="0" showButton="1">
      <filters>
        <filter val="Shareholders’ equity"/>
      </filters>
    </filterColumn>
  </autoFilter>
  <tableColumns count="3">
    <tableColumn id="1" uniqueName="1" name="($ IN 000’S, EXCEPT FOR RATIOS)" queryTableFieldId="1" dataDxfId="37"/>
    <tableColumn id="2" uniqueName="2" name="DECEMBER 31, 2024" queryTableFieldId="2"/>
    <tableColumn id="3" uniqueName="3" name="DECEMBER 31, 2023" queryTableFieldId="3"/>
  </tableColumns>
  <tableStyleInfo name="TableStyleMedium7" showFirstColumn="0" showLastColumn="0" showRowStripes="1" showColumnStripes="0"/>
</table>
</file>

<file path=xl/tables/table14.xml><?xml version="1.0" encoding="utf-8"?>
<table xmlns="http://schemas.openxmlformats.org/spreadsheetml/2006/main" id="14" name="Financial_Metrics" displayName="Financial_Metrics" ref="A1:F20" tableType="queryTable" headerRowCount="1" totalsRowShown="0">
  <autoFilter ref="A1:F20">
    <filterColumn colId="0" hiddenButton="0" showButton="1">
      <filters>
        <filter val="Diluted Earnings per share"/>
        <filter val="Net income"/>
        <filter val="Return on equity"/>
      </filters>
    </filterColumn>
  </autoFilter>
  <tableColumns count="6">
    <tableColumn id="1" uniqueName="1" name="($ IN 000’S EXCEPT PERCENTAGES AND PER SHARE AMOUNTS)" queryTableFieldId="1" dataDxfId="36"/>
    <tableColumn id="2" uniqueName="2" name="2024^{3}" queryTableFieldId="2"/>
    <tableColumn id="3" uniqueName="3" name="2023^{3}" queryTableFieldId="3"/>
    <tableColumn id="4" uniqueName="4" name="2022^{3}" queryTableFieldId="4"/>
    <tableColumn id="5" uniqueName="5" name="2021^{3}" queryTableFieldId="5" dataDxfId="35"/>
    <tableColumn id="6" uniqueName="6" name="2020" queryTableFieldId="6" dataDxfId="34"/>
  </tableColumns>
  <tableStyleInfo name="TableStyleMedium7" showFirstColumn="0" showLastColumn="0" showRowStripes="1" showColumnStripes="0"/>
</table>
</file>

<file path=xl/tables/table15.xml><?xml version="1.0" encoding="utf-8"?>
<table xmlns="http://schemas.openxmlformats.org/spreadsheetml/2006/main" id="15" name="Income_statement_2023" displayName="Income_statement_2023" ref="A1:E19" tableType="queryTable" headerRowCount="1" totalsRowShown="0">
  <autoFilter ref="A1:E19"/>
  <tableColumns count="5">
    <tableColumn id="1" uniqueName="1" name="($ IN 000'S EXCEPT EARNINGS PER SHARE)" queryTableFieldId="1" dataDxfId="33"/>
    <tableColumn id="2" uniqueName="2" name="EASYFINANCIAL" queryTableFieldId="2" dataDxfId="32"/>
    <tableColumn id="3" uniqueName="3" name="EASYHOME (Dec 31, 2023)" queryTableFieldId="3"/>
    <tableColumn id="4" uniqueName="4" name="CORPORATE" queryTableFieldId="4" dataDxfId="31"/>
    <tableColumn id="5" uniqueName="5" name="TOTAL" queryTableFieldId="5"/>
  </tableColumns>
  <tableStyleInfo name="TableStyleMedium7" showFirstColumn="0" showLastColumn="0" showRowStripes="1" showColumnStripes="0"/>
</table>
</file>

<file path=xl/tables/table16.xml><?xml version="1.0" encoding="utf-8"?>
<table xmlns="http://schemas.openxmlformats.org/spreadsheetml/2006/main" id="16" name="Income_Statement_2024" displayName="Income_Statement_2024" ref="A1:E19" tableType="queryTable" headerRowCount="1" totalsRowShown="0">
  <autoFilter ref="A1:E19"/>
  <tableColumns count="5">
    <tableColumn id="1" uniqueName="1" name="($ IN 000'S EXCEPT EARNINGS PER SHARE)" queryTableFieldId="1" dataDxfId="30"/>
    <tableColumn id="2" uniqueName="2" name="EASYFINANCIAL" queryTableFieldId="2" dataDxfId="29"/>
    <tableColumn id="3" uniqueName="3" name="EASYHOME (Dec 31, 2024)" queryTableFieldId="3"/>
    <tableColumn id="4" uniqueName="4" name="CORPORATE" queryTableFieldId="4" dataDxfId="28"/>
    <tableColumn id="5" uniqueName="5" name="TOTAL" queryTableFieldId="5"/>
  </tableColumns>
  <tableStyleInfo name="TableStyleMedium7" showFirstColumn="0" showLastColumn="0" showRowStripes="1" showColumnStripes="0"/>
</table>
</file>

<file path=xl/tables/table17.xml><?xml version="1.0" encoding="utf-8"?>
<table xmlns="http://schemas.openxmlformats.org/spreadsheetml/2006/main" id="17" name="Financial_Summary__1" displayName="Financial_Summary__1" ref="A1:E46" tableType="queryTable" headerRowCount="1" totalsRowShown="0">
  <autoFilter ref="A1:E46"/>
  <tableColumns count="5">
    <tableColumn id="1" uniqueName="1" name="Column1" queryTableFieldId="1" dataDxfId="27"/>
    <tableColumn id="2" uniqueName="2" name="YEAR" queryTableFieldId="2" dataDxfId="26"/>
    <tableColumn id="3" uniqueName="3" name="ENDED" queryTableFieldId="3" dataDxfId="25"/>
    <tableColumn id="4" uniqueName="4" name="Column4" queryTableFieldId="4" dataDxfId="24"/>
    <tableColumn id="5" uniqueName="5" name="Column5" queryTableFieldId="5" dataDxfId="23"/>
  </tableColumns>
  <tableStyleInfo name="TableStyleMedium7" showFirstColumn="0" showLastColumn="0" showRowStripes="1" showColumnStripes="0"/>
</table>
</file>

<file path=xl/tables/table18.xml><?xml version="1.0" encoding="utf-8"?>
<table xmlns="http://schemas.openxmlformats.org/spreadsheetml/2006/main" id="18" name="ROE1_" displayName="ROE1_" ref="A1:D7" tableType="queryTable" headerRowCount="1" totalsRowShown="0">
  <autoFilter ref="A1:D7"/>
  <tableColumns count="4">
    <tableColumn id="1" uniqueName="1" name="Column1" queryTableFieldId="1" dataDxfId="22"/>
    <tableColumn id="2" uniqueName="2" name="ACTUAL RESULTS_x000a_FOR 2024" queryTableFieldId="2" dataDxfId="21"/>
    <tableColumn id="3" uniqueName="3" name="UPDATED FORECASTS_x000a_FOR 2024" queryTableFieldId="3" dataDxfId="20"/>
    <tableColumn id="4" uniqueName="4" name="OUTCOME" queryTableFieldId="4" dataDxfId="19"/>
  </tableColumns>
  <tableStyleInfo name="TableStyleMedium7" showFirstColumn="0" showLastColumn="0" showRowStripes="1" showColumnStripes="0"/>
</table>
</file>

<file path=xl/tables/table19.xml><?xml version="1.0" encoding="utf-8"?>
<table xmlns="http://schemas.openxmlformats.org/spreadsheetml/2006/main" id="19" name="ROE2_" displayName="ROE2_" ref="A1:D7" tableType="queryTable" headerRowCount="1" totalsRowShown="0">
  <autoFilter ref="A1:D7"/>
  <tableColumns count="4">
    <tableColumn id="1" uniqueName="1" name="Column1" queryTableFieldId="1" dataDxfId="18"/>
    <tableColumn id="2" uniqueName="2" name="FORECASTS_x000a_FOR 2025" queryTableFieldId="2" dataDxfId="17"/>
    <tableColumn id="3" uniqueName="3" name="FORECASTS_x000a_FOR 2026" queryTableFieldId="3" dataDxfId="16"/>
    <tableColumn id="4" uniqueName="4" name="FORECASTS_x000a_FOR 2027" queryTableFieldId="4" dataDxfId="15"/>
  </tableColumns>
  <tableStyleInfo name="TableStyleMedium7" showFirstColumn="0" showLastColumn="0" showRowStripes="1" showColumnStripes="0"/>
</table>
</file>

<file path=xl/tables/table20.xml><?xml version="1.0" encoding="utf-8"?>
<table xmlns="http://schemas.openxmlformats.org/spreadsheetml/2006/main" id="20" name="Balance_Sheet__23___24" displayName="Balance_Sheet__23___24" ref="A1:C6" tableType="queryTable" headerRowCount="1" totalsRowShown="0">
  <autoFilter ref="A1:C6"/>
  <tableColumns count="3">
    <tableColumn id="1" uniqueName="1" name="($ IN 000’S)" queryTableFieldId="1" dataDxfId="14"/>
    <tableColumn id="2" uniqueName="2" name="DECEMBER 31, 2024" queryTableFieldId="2"/>
    <tableColumn id="3" uniqueName="3" name="DECEMBER 31, 2023"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 Type="http://schemas.openxmlformats.org/officeDocument/2006/relationships/table" Target="/xl/tables/table9.xml" Id="rId2"/><Relationship Type="http://schemas.openxmlformats.org/officeDocument/2006/relationships/table" Target="/xl/tables/table10.xml" Id="rId3"/><Relationship Type="http://schemas.openxmlformats.org/officeDocument/2006/relationships/table" Target="/xl/tables/table11.xml" Id="rId4"/></Relationships>
</file>

<file path=xl/worksheets/_rels/sheet11.xml.rels><Relationships xmlns="http://schemas.openxmlformats.org/package/2006/relationships"><Relationship Type="http://schemas.openxmlformats.org/officeDocument/2006/relationships/table" Target="/xl/tables/table12.xml" Id="rId1"/></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4" t="inlineStr">
        <is>
          <t>Model Purpose</t>
        </is>
      </c>
      <c r="B1" s="4" t="inlineStr">
        <is>
          <t>Equity valuation using Residual Income Model for goeasy Ltd.</t>
        </is>
      </c>
    </row>
    <row r="3">
      <c r="A3" t="inlineStr">
        <is>
          <t>Key Assumptions</t>
        </is>
      </c>
    </row>
    <row r="4">
      <c r="A4" t="inlineStr">
        <is>
          <t>ROE projections based on historical performance and normalization</t>
        </is>
      </c>
    </row>
    <row r="5">
      <c r="A5" t="inlineStr">
        <is>
          <t>Cost of equity derived from CAPM-style estimate</t>
        </is>
      </c>
    </row>
    <row r="6">
      <c r="A6" t="inlineStr">
        <is>
          <t>Terminal growth conservative and below nominal GDP</t>
        </is>
      </c>
    </row>
    <row r="8">
      <c r="A8" t="inlineStr">
        <is>
          <t>Notes</t>
        </is>
      </c>
    </row>
    <row r="9">
      <c r="A9" t="inlineStr">
        <is>
          <t>All blue cells across model indicate user inputs.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B7" sqref="B7"/>
    </sheetView>
  </sheetViews>
  <sheetFormatPr baseColWidth="8" defaultRowHeight="14.4"/>
  <cols>
    <col width="67.109375" customWidth="1" min="2" max="2"/>
  </cols>
  <sheetData>
    <row r="1" ht="22.8" customHeight="1">
      <c r="A1" s="39" t="inlineStr">
        <is>
          <t>GoEasy Firm Introduction:</t>
        </is>
      </c>
      <c r="B1" s="4" t="n"/>
    </row>
    <row r="3" ht="148.8" customHeight="1">
      <c r="B3" s="21" t="inlineStr">
        <is>
          <t>GoEasy is a Canadian financial services company that focuses on helping people who may not qualify for traditional credit. Through its brands like easyfinancial, easyhome, and LendCare offers everything from personal loans to lease‑to‑own furniture, appliances, and point‑of‑sale financing. Since its start in 1990, the company has grown into one of Canada’s leading alternative lenders. As of September 30, 2025, GoEasy managed a consumer loan portfolio of $5.44 billion and reported $440 million in revenue for the quarter. Its mission is to support individuals with challenged credit by  giving them access to financial products that can help rebuild their credit and improve their overall financial well‑being.</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C19"/>
  <sheetViews>
    <sheetView tabSelected="1" topLeftCell="A2" workbookViewId="0">
      <selection activeCell="C9" sqref="C9"/>
    </sheetView>
  </sheetViews>
  <sheetFormatPr baseColWidth="8" defaultRowHeight="36" customHeight="1"/>
  <cols>
    <col width="8.88671875" customWidth="1" style="24" min="1" max="1"/>
    <col width="45.33203125" bestFit="1" customWidth="1" min="2" max="2"/>
    <col width="77.5546875" bestFit="1" customWidth="1" min="3" max="3"/>
  </cols>
  <sheetData>
    <row r="1" ht="46.2" customHeight="1">
      <c r="A1" s="22" t="inlineStr">
        <is>
          <t>No.</t>
        </is>
      </c>
      <c r="B1" s="4" t="inlineStr">
        <is>
          <t>Name</t>
        </is>
      </c>
      <c r="C1" s="4" t="inlineStr">
        <is>
          <t>Content</t>
        </is>
      </c>
    </row>
    <row r="2" ht="36" customHeight="1">
      <c r="A2" s="25" t="n">
        <v>1</v>
      </c>
      <c r="B2" s="27" t="inlineStr">
        <is>
          <t>Financials</t>
        </is>
      </c>
      <c r="C2" s="11" t="inlineStr">
        <is>
          <t>Provides the historical financial data needed to understand GoEasy’s performance over the past five years, including net income, equity, ROE, and book value per share.</t>
        </is>
      </c>
    </row>
    <row r="3" ht="36" customHeight="1">
      <c r="A3" s="26" t="n">
        <v>2</v>
      </c>
      <c r="B3" s="27" t="inlineStr">
        <is>
          <t>Market Data</t>
        </is>
      </c>
      <c r="C3" s="11" t="inlineStr">
        <is>
          <t>Shows how the market has valued GoEasy over time by tracking average share prices and valuation multiples such as P/E and P/B.</t>
        </is>
      </c>
    </row>
    <row r="4" ht="36" customHeight="1">
      <c r="A4" s="25" t="n">
        <v>3</v>
      </c>
      <c r="B4" s="27" t="inlineStr">
        <is>
          <t>Valuation</t>
        </is>
      </c>
      <c r="C4" s="11" t="inlineStr">
        <is>
          <t>Uses historical earnings and book value to estimate GoEasy’s implied share price based on assumed valuation multiples.</t>
        </is>
      </c>
    </row>
    <row r="5" ht="36" customHeight="1">
      <c r="A5" s="26" t="n">
        <v>4</v>
      </c>
      <c r="B5" s="27" t="inlineStr">
        <is>
          <t>Inputs</t>
        </is>
      </c>
      <c r="C5" s="11" t="inlineStr">
        <is>
          <t>Lists the key assumptions used in the valuation model, such as the risk‑free rate, beta, cost of equity, growth rate, and target ROE.</t>
        </is>
      </c>
    </row>
    <row r="6" ht="36" customHeight="1">
      <c r="A6" s="25" t="n">
        <v>5</v>
      </c>
      <c r="B6" s="27" t="inlineStr">
        <is>
          <t>Residual Income Valuation</t>
        </is>
      </c>
      <c r="C6" s="11" t="inlineStr">
        <is>
          <t>Calculates the company’s future excess returns (Residual Income) and discounts them to determine GoEasy’s intrinsic value.</t>
        </is>
      </c>
    </row>
    <row r="7" ht="36" customHeight="1">
      <c r="A7" s="26" t="n">
        <v>6</v>
      </c>
      <c r="B7" s="27" t="inlineStr">
        <is>
          <t>Valuation Summary</t>
        </is>
      </c>
      <c r="C7" s="11" t="inlineStr">
        <is>
          <t>Summarizes the final valuation results, including the present value of residual income, terminal value, and intrinsic value per share.</t>
        </is>
      </c>
    </row>
    <row r="8" ht="60" customHeight="1">
      <c r="A8" s="26" t="n">
        <v>7</v>
      </c>
      <c r="B8" s="27" t="inlineStr">
        <is>
          <t>Sensitivity Analysis</t>
        </is>
      </c>
      <c r="C8" s="11" t="inlineStr">
        <is>
          <t>The sensitivity analysis tests how goeasy's value shifts when key inputs like ROE, credit defaults (net charge-offs), and the cost of equity are changed. By stressing these assumptions, it identifies the primary drivers of the stock's value and highlights the specific risks that could impact your investment thesis.</t>
        </is>
      </c>
    </row>
    <row r="9" ht="36" customHeight="1">
      <c r="A9" s="25" t="n">
        <v>8</v>
      </c>
      <c r="B9" s="28" t="inlineStr">
        <is>
          <t>Financial Summary (1)</t>
        </is>
      </c>
      <c r="C9" s="11" t="inlineStr">
        <is>
          <t>Breaks down GoEasy’s income statement, balance sheet, and key financial metrics for multiple years to show trends in profitability and growth.</t>
        </is>
      </c>
    </row>
    <row r="10" ht="36" customHeight="1">
      <c r="A10" s="26" t="n">
        <v>9</v>
      </c>
      <c r="B10" s="28" t="inlineStr">
        <is>
          <t>Shares outstanding</t>
        </is>
      </c>
      <c r="C10" s="11" t="inlineStr">
        <is>
          <t>Shows the number of diluted shares used in valuation calculations such as EPS and intrinsic value per share.</t>
        </is>
      </c>
    </row>
    <row r="11" ht="36" customHeight="1">
      <c r="A11" s="25" t="n">
        <v>10</v>
      </c>
      <c r="B11" s="28" t="inlineStr">
        <is>
          <t>Financial Metrics</t>
        </is>
      </c>
      <c r="C11" s="11" t="inlineStr">
        <is>
          <t>Provides deeper performance ratios like ROA, ROE, return on receivables, margins, and adjusted profitability measures.</t>
        </is>
      </c>
    </row>
    <row r="12" ht="36" customHeight="1">
      <c r="A12" s="26" t="n">
        <v>11</v>
      </c>
      <c r="B12" s="28" t="inlineStr">
        <is>
          <t>Income statement 2023</t>
        </is>
      </c>
      <c r="C12" s="11" t="inlineStr">
        <is>
          <t>Gives a detailed breakdown of GoEasy’s 2023 revenue, expenses, and segment performance.</t>
        </is>
      </c>
    </row>
    <row r="13" ht="36" customHeight="1">
      <c r="A13" s="25" t="n">
        <v>12</v>
      </c>
      <c r="B13" s="28" t="inlineStr">
        <is>
          <t>Income statement 2024</t>
        </is>
      </c>
      <c r="C13" s="11" t="inlineStr">
        <is>
          <t>Provides the full 2024 income statement, including segment results and year‑over‑year changes.</t>
        </is>
      </c>
    </row>
    <row r="14" ht="36" customHeight="1">
      <c r="A14" s="26" t="n">
        <v>13</v>
      </c>
      <c r="B14" s="28" t="inlineStr">
        <is>
          <t>Financial Summary (2)</t>
        </is>
      </c>
      <c r="C14" s="11" t="inlineStr">
        <is>
          <t>Compares 2023 vs. 2024 performance, highlighting variances in revenue, expenses, margins, and key KPIs.</t>
        </is>
      </c>
    </row>
    <row r="15" ht="36" customHeight="1">
      <c r="A15" s="26" t="n">
        <v>14</v>
      </c>
      <c r="B15" s="28" t="inlineStr">
        <is>
          <t>Previous ROE</t>
        </is>
      </c>
      <c r="C15" s="11" t="inlineStr">
        <is>
          <t>Shows how GoEasy’s actual 2024 results compared to management’s forecasts, confirming whether targets were met.</t>
        </is>
      </c>
    </row>
    <row r="16" ht="36" customHeight="1">
      <c r="A16" s="25" t="n">
        <v>15</v>
      </c>
      <c r="B16" s="28" t="inlineStr">
        <is>
          <t>Projected ROE</t>
        </is>
      </c>
      <c r="C16" s="11" t="inlineStr">
        <is>
          <t>Outlines management’s expectations for 2025–2027, including loan book growth, revenue, margins, and ROE targets.</t>
        </is>
      </c>
    </row>
    <row r="17" ht="36" customHeight="1">
      <c r="A17" s="26" t="n">
        <v>16</v>
      </c>
      <c r="B17" s="28" t="inlineStr">
        <is>
          <t>Bad Debts</t>
        </is>
      </c>
      <c r="C17" s="11" t="inlineStr">
        <is>
          <t>Breaks down the components of GoEasy’s bad debt expense, including charge‑offs, loan growth impact, and changes in credit loss allowances.</t>
        </is>
      </c>
    </row>
    <row r="18" ht="36" customHeight="1">
      <c r="A18" s="25" t="n"/>
      <c r="B18" s="19" t="n"/>
      <c r="C18" s="11" t="n"/>
    </row>
    <row r="19" ht="36" customHeight="1">
      <c r="A19" s="23" t="n"/>
      <c r="B19" s="19" t="n"/>
      <c r="C19" s="11" t="n"/>
    </row>
  </sheetData>
  <autoFilter ref="A1:A17"/>
  <hyperlinks>
    <hyperlink ref="B2" location="Financials!A1" display="Financials"/>
    <hyperlink ref="B3" location="'Market Data'!A1" display="Market Data"/>
    <hyperlink ref="B4" location="Valuation!A1" display="Valuation"/>
    <hyperlink ref="B5" location="Inputs!A1" display="Inputs"/>
    <hyperlink ref="B6" location="'Residual Income Valuation'!A1" display="Residual Income Valuation"/>
    <hyperlink ref="B7" location="'Valuation Summary'!A1" display="Valuation Summary"/>
    <hyperlink ref="B8" location="'Sensitivity Analysis'!A1" display="Sensitivity Analysis"/>
    <hyperlink ref="B9" location="'Financial Summary (A)'!A1" display="Financial Summary (A)"/>
    <hyperlink ref="B10" location="'Shares outstanding'!A1" display="Shares outstanding"/>
    <hyperlink ref="B11" location="'Financial Metrics'!A1" display="Financial Metrics"/>
    <hyperlink ref="B12" location="'Income statement 2023'!A1" display="Income statement 2023"/>
    <hyperlink ref="B13" location="'Income Statement 2024'!A1" display="Income statement 2024"/>
    <hyperlink ref="B14" location="'Financial Summary (2)'!A1" display="Financial Summary (2)"/>
    <hyperlink ref="B15" location="'Previous ROE'!A1" display="Previous ROE"/>
    <hyperlink ref="B16" location="'Projected ROE'!A1" display="Projected ROE"/>
    <hyperlink ref="B17" location="'Bad Debts'!A1" display="Bad Debts"/>
  </hyperlink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23.4" customHeight="1"/>
  <cols>
    <col width="6.5546875" customWidth="1" min="1" max="1"/>
    <col width="18.109375" customWidth="1" style="40" min="2" max="2"/>
    <col width="14.5546875" customWidth="1" style="40" min="3" max="3"/>
    <col width="13.5546875" customWidth="1" style="40" min="4" max="4"/>
    <col width="23.109375" customWidth="1" style="6" min="5" max="5"/>
    <col width="11.33203125" bestFit="1" customWidth="1" style="40" min="6" max="6"/>
    <col width="21.88671875" bestFit="1" customWidth="1" min="7" max="7"/>
  </cols>
  <sheetData>
    <row r="1" ht="23.4" customHeight="1">
      <c r="A1" s="4" t="inlineStr">
        <is>
          <t>Year</t>
        </is>
      </c>
      <c r="B1" s="41" t="inlineStr">
        <is>
          <t xml:space="preserve">Net Income </t>
        </is>
      </c>
      <c r="C1" s="41" t="inlineStr">
        <is>
          <t xml:space="preserve">Diluted EPS </t>
        </is>
      </c>
      <c r="D1" s="41" t="inlineStr">
        <is>
          <t xml:space="preserve">Equity </t>
        </is>
      </c>
      <c r="E1" s="42" t="inlineStr">
        <is>
          <t xml:space="preserve">Shares Outstanding </t>
        </is>
      </c>
      <c r="F1" s="41" t="inlineStr">
        <is>
          <t xml:space="preserve">BVPS </t>
        </is>
      </c>
      <c r="G1" s="4" t="inlineStr">
        <is>
          <t>ROE (%)</t>
        </is>
      </c>
      <c r="H1" s="4" t="n"/>
      <c r="I1" s="4" t="inlineStr">
        <is>
          <t>Book Value Per Share  (BVPS) = equity/ shares o/s</t>
        </is>
      </c>
    </row>
    <row r="2" ht="23.4" customHeight="1">
      <c r="A2" t="n">
        <v>2020</v>
      </c>
      <c r="B2" s="40" t="n">
        <v>136505</v>
      </c>
      <c r="C2" s="40" t="n">
        <v>8.76</v>
      </c>
      <c r="D2" s="40" t="n">
        <v>443512</v>
      </c>
      <c r="E2" s="6" t="n">
        <v>15757</v>
      </c>
      <c r="F2" s="40">
        <f>Financial_no.[[#This Row],[Equity ]]/Financial_no.[[#This Row],[Shares Outstanding ]]</f>
        <v/>
      </c>
      <c r="G2" s="2" t="n">
        <v>0.361</v>
      </c>
      <c r="I2" s="43" t="inlineStr">
        <is>
          <t>Return on equity (ROE) =Net Income /Equity</t>
        </is>
      </c>
    </row>
    <row r="3" ht="23.4" customHeight="1">
      <c r="A3" t="n">
        <v>2021</v>
      </c>
      <c r="B3" s="40" t="n">
        <v>244943</v>
      </c>
      <c r="C3" s="40" t="n">
        <v>14.62</v>
      </c>
      <c r="D3" s="40" t="n">
        <v>789913</v>
      </c>
      <c r="E3" s="6" t="n">
        <v>16757</v>
      </c>
      <c r="F3" s="40">
        <f>Financial_no.[[#This Row],[Equity ]]/Financial_no.[[#This Row],[Shares Outstanding ]]</f>
        <v/>
      </c>
      <c r="G3" s="2" t="n">
        <v>0.367</v>
      </c>
    </row>
    <row r="4" ht="23.4" customHeight="1">
      <c r="A4" t="n">
        <v>2022</v>
      </c>
      <c r="B4" s="40" t="n">
        <v>140161</v>
      </c>
      <c r="C4" s="40" t="n">
        <v>8.42</v>
      </c>
      <c r="D4" s="40" t="n">
        <v>869688</v>
      </c>
      <c r="E4" s="6" t="n">
        <v>16650</v>
      </c>
      <c r="F4" s="40">
        <f>Financial_no.[[#This Row],[Equity ]]/Financial_no.[[#This Row],[Shares Outstanding ]]</f>
        <v/>
      </c>
      <c r="G4" s="2" t="n">
        <v>0.176</v>
      </c>
    </row>
    <row r="5" ht="23.4" customHeight="1">
      <c r="A5" t="n">
        <v>2023</v>
      </c>
      <c r="B5" s="40" t="n">
        <v>247898</v>
      </c>
      <c r="C5" s="40" t="n">
        <v>14.48</v>
      </c>
      <c r="D5" s="40" t="n">
        <v>1054077</v>
      </c>
      <c r="E5" s="6" t="n">
        <v>17117</v>
      </c>
      <c r="F5" s="40">
        <f>Financial_no.[[#This Row],[Equity ]]/Financial_no.[[#This Row],[Shares Outstanding ]]</f>
        <v/>
      </c>
      <c r="G5" s="2" t="n">
        <v>0.259</v>
      </c>
      <c r="H5" s="7" t="n"/>
    </row>
    <row r="6" ht="23.4" customHeight="1">
      <c r="A6" t="n">
        <v>2024</v>
      </c>
      <c r="B6" s="40" t="n">
        <v>283110</v>
      </c>
      <c r="C6" s="40" t="n">
        <v>16.3</v>
      </c>
      <c r="D6" s="40" t="n">
        <v>1201063</v>
      </c>
      <c r="E6" s="6" t="n">
        <v>17366</v>
      </c>
      <c r="F6" s="40">
        <f>Financial_no.[[#This Row],[Equity ]]/Financial_no.[[#This Row],[Shares Outstanding ]]</f>
        <v/>
      </c>
      <c r="G6" s="2" t="n">
        <v>0.249</v>
      </c>
      <c r="H6" s="7" t="n"/>
    </row>
    <row r="7" ht="23.4" customHeight="1">
      <c r="I7" s="4" t="n"/>
    </row>
    <row r="8" ht="23.4" customHeight="1">
      <c r="G8" s="4" t="inlineStr">
        <is>
          <t>*expressed in thousands</t>
        </is>
      </c>
    </row>
  </sheetData>
  <pageMargins left="0.75" right="0.75" top="1" bottom="1" header="0.5" footer="0.5"/>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D8" sqref="D8"/>
    </sheetView>
  </sheetViews>
  <sheetFormatPr baseColWidth="8" defaultRowHeight="23.4" customHeight="1"/>
  <cols>
    <col width="17.77734375" customWidth="1" style="40" min="2" max="2"/>
    <col width="12" bestFit="1" customWidth="1" min="4" max="4"/>
  </cols>
  <sheetData>
    <row r="1" ht="23.4" customHeight="1">
      <c r="A1" s="4" t="inlineStr">
        <is>
          <t>Year</t>
        </is>
      </c>
      <c r="B1" s="41" t="inlineStr">
        <is>
          <t xml:space="preserve">Avg Share Price </t>
        </is>
      </c>
      <c r="C1" s="4" t="inlineStr">
        <is>
          <t>P/E</t>
        </is>
      </c>
      <c r="D1" s="4" t="inlineStr">
        <is>
          <t>P/B</t>
        </is>
      </c>
      <c r="E1" s="4" t="n"/>
      <c r="F1" s="4" t="n"/>
      <c r="G1" s="4" t="inlineStr">
        <is>
          <t>P/E= Share price/EPS</t>
        </is>
      </c>
    </row>
    <row r="2" ht="23.4" customHeight="1">
      <c r="A2" t="n">
        <v>2020</v>
      </c>
      <c r="B2" s="40" t="n">
        <v>63</v>
      </c>
      <c r="C2">
        <f>B2/Financials!C2</f>
        <v/>
      </c>
      <c r="D2">
        <f>B2/Financials!F2</f>
        <v/>
      </c>
      <c r="G2" t="inlineStr">
        <is>
          <t>P/B=Share price/BVPS</t>
        </is>
      </c>
    </row>
    <row r="3" ht="23.4" customHeight="1">
      <c r="A3" t="n">
        <v>2021</v>
      </c>
      <c r="B3" s="40" t="n">
        <v>155</v>
      </c>
      <c r="C3">
        <f>B3/Financials!C3</f>
        <v/>
      </c>
      <c r="D3">
        <f>B3/Financials!F3</f>
        <v/>
      </c>
    </row>
    <row r="4" ht="23.4" customHeight="1">
      <c r="A4" t="n">
        <v>2022</v>
      </c>
      <c r="B4" s="40" t="n">
        <v>110</v>
      </c>
      <c r="C4">
        <f>B4/Financials!C4</f>
        <v/>
      </c>
      <c r="D4">
        <f>B4/Financials!F4</f>
        <v/>
      </c>
    </row>
    <row r="5" ht="23.4" customHeight="1">
      <c r="A5" t="n">
        <v>2023</v>
      </c>
      <c r="B5" s="40" t="n">
        <v>185</v>
      </c>
      <c r="C5">
        <f>B5/Financials!C5</f>
        <v/>
      </c>
      <c r="D5">
        <f>B5/Financials!F5</f>
        <v/>
      </c>
    </row>
    <row r="6" ht="23.4" customHeight="1">
      <c r="A6" t="n">
        <v>2024</v>
      </c>
      <c r="B6" s="40" t="n">
        <v>175</v>
      </c>
      <c r="C6">
        <f>B6/Financials!C6</f>
        <v/>
      </c>
      <c r="D6">
        <f>B6/Financials!F6</f>
        <v/>
      </c>
    </row>
    <row r="8" ht="23.4" customHeight="1">
      <c r="G8" s="4" t="n"/>
    </row>
    <row r="9" ht="23.4" customHeight="1">
      <c r="G9" s="5" t="n"/>
    </row>
    <row r="10" ht="23.4" customHeight="1">
      <c r="G10" s="5"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E9"/>
  <sheetViews>
    <sheetView workbookViewId="0">
      <selection activeCell="I8" sqref="I8"/>
    </sheetView>
  </sheetViews>
  <sheetFormatPr baseColWidth="8" defaultRowHeight="26.4" customHeight="1"/>
  <cols>
    <col width="18.88671875" bestFit="1" customWidth="1" min="1" max="1"/>
    <col width="6" bestFit="1" customWidth="1" min="2" max="2"/>
    <col width="17.6640625" customWidth="1" min="3" max="3"/>
    <col width="12" bestFit="1" customWidth="1" min="4" max="4"/>
    <col width="17.77734375" customWidth="1" min="5" max="5"/>
  </cols>
  <sheetData>
    <row r="1" ht="26.4" customHeight="1">
      <c r="A1" s="4" t="inlineStr">
        <is>
          <t>Assumed P/E Multiple</t>
        </is>
      </c>
      <c r="B1" s="4" t="n">
        <v>12</v>
      </c>
      <c r="C1" s="4" t="n"/>
      <c r="D1" s="4" t="n"/>
      <c r="E1" s="4" t="n"/>
    </row>
    <row r="2" ht="26.4" customHeight="1">
      <c r="A2" t="inlineStr">
        <is>
          <t>Assumed P/B Multiple</t>
        </is>
      </c>
      <c r="B2" t="n">
        <v>3</v>
      </c>
    </row>
    <row r="4" ht="26.4" customHeight="1">
      <c r="A4" t="inlineStr">
        <is>
          <t>Year</t>
        </is>
      </c>
      <c r="B4" t="inlineStr">
        <is>
          <t>EPS</t>
        </is>
      </c>
      <c r="C4" t="inlineStr">
        <is>
          <t>Implied Price (P/E)</t>
        </is>
      </c>
      <c r="D4" t="inlineStr">
        <is>
          <t>BVPS</t>
        </is>
      </c>
      <c r="E4" t="inlineStr">
        <is>
          <t>Implied Price (P/B)</t>
        </is>
      </c>
    </row>
    <row r="5" ht="26.4" customHeight="1">
      <c r="A5">
        <f>Financials!A2</f>
        <v/>
      </c>
      <c r="B5">
        <f>Financials!C2</f>
        <v/>
      </c>
      <c r="C5">
        <f>Financials!C2*Valuation!B1</f>
        <v/>
      </c>
      <c r="D5">
        <f>Financials!F2</f>
        <v/>
      </c>
      <c r="E5">
        <f>Financials!F2*Valuation!B2</f>
        <v/>
      </c>
    </row>
    <row r="6" ht="26.4" customHeight="1">
      <c r="A6">
        <f>Financials!A3</f>
        <v/>
      </c>
      <c r="B6">
        <f>Financials!C3</f>
        <v/>
      </c>
      <c r="C6">
        <f>Financials!C3*Valuation!B1</f>
        <v/>
      </c>
      <c r="D6">
        <f>Financials!F3</f>
        <v/>
      </c>
      <c r="E6">
        <f>Financials!F3*Valuation!B2</f>
        <v/>
      </c>
    </row>
    <row r="7" ht="26.4" customHeight="1">
      <c r="A7">
        <f>Financials!A4</f>
        <v/>
      </c>
      <c r="B7">
        <f>Financials!C4</f>
        <v/>
      </c>
      <c r="C7">
        <f>Financials!C4*Valuation!B1</f>
        <v/>
      </c>
      <c r="D7">
        <f>Financials!F4</f>
        <v/>
      </c>
      <c r="E7">
        <f>Financials!F4*Valuation!B2</f>
        <v/>
      </c>
    </row>
    <row r="8" ht="26.4" customHeight="1">
      <c r="A8">
        <f>Financials!A5</f>
        <v/>
      </c>
      <c r="B8">
        <f>Financials!C5</f>
        <v/>
      </c>
      <c r="C8">
        <f>Financials!C5*Valuation!B1</f>
        <v/>
      </c>
      <c r="D8">
        <f>Financials!F5</f>
        <v/>
      </c>
      <c r="E8">
        <f>Financials!F5*Valuation!B2</f>
        <v/>
      </c>
    </row>
    <row r="9" ht="26.4" customHeight="1">
      <c r="A9">
        <f>Financials!A6</f>
        <v/>
      </c>
      <c r="B9" s="8">
        <f>Financials!C6</f>
        <v/>
      </c>
      <c r="C9">
        <f>Financials!C6*Valuation!B1</f>
        <v/>
      </c>
      <c r="D9">
        <f>Financials!F6</f>
        <v/>
      </c>
      <c r="E9">
        <f>Financials!F6*Valuation!B2</f>
        <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C7"/>
    </sheetView>
  </sheetViews>
  <sheetFormatPr baseColWidth="8" defaultRowHeight="36.6" customHeight="1"/>
  <cols>
    <col width="17.5546875" bestFit="1" customWidth="1" min="1" max="1"/>
    <col width="7.6640625" customWidth="1" min="2" max="2"/>
    <col width="38.44140625" bestFit="1" customWidth="1" min="3" max="3"/>
  </cols>
  <sheetData>
    <row r="1" ht="36.6" customHeight="1">
      <c r="A1" s="4" t="inlineStr">
        <is>
          <t>Input</t>
        </is>
      </c>
      <c r="B1" s="4" t="inlineStr">
        <is>
          <t>Value</t>
        </is>
      </c>
      <c r="C1" s="4" t="inlineStr">
        <is>
          <t>Source / Rationale</t>
        </is>
      </c>
    </row>
    <row r="2" ht="53.4" customHeight="1">
      <c r="A2" t="inlineStr">
        <is>
          <t>Risk-Free Rate</t>
        </is>
      </c>
      <c r="B2" s="2" t="n">
        <v>0.035</v>
      </c>
      <c r="C2" s="11" t="inlineStr">
        <is>
          <t>Approx. 10-Year Government Bond Yield.
This is the yeild you would get from safe investments.</t>
        </is>
      </c>
    </row>
    <row r="3" ht="36.6" customHeight="1">
      <c r="A3" t="inlineStr">
        <is>
          <t>Equity Risk Premium</t>
        </is>
      </c>
      <c r="B3" s="2" t="n">
        <v>0.055</v>
      </c>
      <c r="C3" s="11" t="inlineStr">
        <is>
          <t xml:space="preserve">Standard market premium. The extra returns 
an investor would want on their risky stocks. </t>
        </is>
      </c>
    </row>
    <row r="4" ht="36.6" customHeight="1">
      <c r="A4" t="inlineStr">
        <is>
          <t>Beta</t>
        </is>
      </c>
      <c r="B4" t="n">
        <v>1.2</v>
      </c>
      <c r="C4" s="11" t="inlineStr">
        <is>
          <t>Estimated for a high-growth consumer lender. It is a measure of volatility.</t>
        </is>
      </c>
    </row>
    <row r="5" ht="43.2" customHeight="1">
      <c r="A5" t="inlineStr">
        <is>
          <t>Cost of Equity (Ke​)</t>
        </is>
      </c>
      <c r="B5" s="2" t="n">
        <v>0.101</v>
      </c>
      <c r="C5" s="11" t="inlineStr">
        <is>
          <t>3.5%+(1.2×5.5%). We can infer that Goeasy 
must earn greater than or equal to 10.10% to 
get good value.</t>
        </is>
      </c>
    </row>
    <row r="6" ht="36.6" customHeight="1">
      <c r="A6" t="inlineStr">
        <is>
          <t>Target ROE</t>
        </is>
      </c>
      <c r="B6" s="2" t="n">
        <v>0.235</v>
      </c>
      <c r="C6" s="11" t="inlineStr">
        <is>
          <t>Mid-point of 2025-2027 guidance (23%+). As 
per the GoEasy annual report.</t>
        </is>
      </c>
    </row>
    <row r="7" ht="36.6" customHeight="1">
      <c r="A7" t="inlineStr">
        <is>
          <t>Growth Rate (g)</t>
        </is>
      </c>
      <c r="B7" s="2" t="n">
        <v>0.04</v>
      </c>
      <c r="C7" t="inlineStr">
        <is>
          <t>Long-term terminal growth rate</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7"/>
  <sheetViews>
    <sheetView workbookViewId="0">
      <selection activeCell="F7" sqref="F7"/>
    </sheetView>
  </sheetViews>
  <sheetFormatPr baseColWidth="8" defaultRowHeight="14.4"/>
  <cols>
    <col width="21.33203125" bestFit="1" customWidth="1" min="1" max="1"/>
    <col width="10.21875" bestFit="1" customWidth="1" min="2" max="2"/>
    <col width="10" bestFit="1" customWidth="1" min="3" max="5"/>
    <col width="72.88671875" customWidth="1" min="6" max="6"/>
    <col width="53.6640625" bestFit="1" customWidth="1" min="7" max="7"/>
  </cols>
  <sheetData>
    <row r="1" ht="36.6" customHeight="1">
      <c r="A1" s="4" t="inlineStr">
        <is>
          <t>Metric (in $000s)</t>
        </is>
      </c>
      <c r="B1" s="4" t="inlineStr">
        <is>
          <t>2024 (A)</t>
        </is>
      </c>
      <c r="C1" s="4" t="inlineStr">
        <is>
          <t>2025 (E)</t>
        </is>
      </c>
      <c r="D1" s="4" t="inlineStr">
        <is>
          <t>2026 (E)</t>
        </is>
      </c>
      <c r="E1" s="4" t="inlineStr">
        <is>
          <t>2027 (E)</t>
        </is>
      </c>
      <c r="F1" s="4" t="inlineStr">
        <is>
          <t>Source / Rationale</t>
        </is>
      </c>
      <c r="G1" s="4" t="n"/>
    </row>
    <row r="2" ht="36.6" customHeight="1">
      <c r="A2" t="inlineStr">
        <is>
          <t>Beginning Equity</t>
        </is>
      </c>
      <c r="B2" t="inlineStr">
        <is>
          <t>-</t>
        </is>
      </c>
      <c r="C2" s="9" t="n">
        <v>1201063</v>
      </c>
      <c r="D2" s="9" t="n">
        <v>1483313</v>
      </c>
      <c r="E2" s="9" t="n">
        <v>1831892</v>
      </c>
      <c r="F2" s="9" t="n"/>
      <c r="G2" s="12" t="inlineStr">
        <is>
          <t>Terminal Residual Income = {RI_{2027} * (1 + g)} / {Ke - g}</t>
        </is>
      </c>
    </row>
    <row r="3" ht="36.6" customHeight="1">
      <c r="A3" t="inlineStr">
        <is>
          <t>Net Income (23.5% ROE)</t>
        </is>
      </c>
      <c r="B3" s="9" t="n">
        <v>283110</v>
      </c>
      <c r="C3" s="9" t="n">
        <v>282250</v>
      </c>
      <c r="D3" s="9" t="n">
        <v>348579</v>
      </c>
      <c r="E3" s="9" t="n">
        <v>430495</v>
      </c>
      <c r="F3" t="inlineStr">
        <is>
          <t>I took the Equity and multiplied it by the 23.5% ROE target.</t>
        </is>
      </c>
      <c r="G3" s="13" t="n"/>
    </row>
    <row r="4" ht="36.6" customHeight="1">
      <c r="A4" t="inlineStr">
        <is>
          <t>Equity Charge (10.1%)</t>
        </is>
      </c>
      <c r="B4" t="inlineStr">
        <is>
          <t>-</t>
        </is>
      </c>
      <c r="C4" s="9" t="n">
        <v>-121307</v>
      </c>
      <c r="D4" s="9" t="n">
        <v>-149815</v>
      </c>
      <c r="E4" s="9" t="n">
        <v>-185021</v>
      </c>
      <c r="F4" t="inlineStr">
        <is>
          <t>I calculated what the "required" return was (Equity * 10.1% Cost of Equity).</t>
        </is>
      </c>
      <c r="G4" s="12" t="inlineStr">
        <is>
          <t xml:space="preserve">              = {245,474 * 1.04} / {0.101 - 0.04} = $4,185,123</t>
        </is>
      </c>
    </row>
    <row r="5" ht="36.6" customHeight="1">
      <c r="A5" t="inlineStr">
        <is>
          <t>Residual Income</t>
        </is>
      </c>
      <c r="B5" t="inlineStr">
        <is>
          <t>-</t>
        </is>
      </c>
      <c r="C5" s="9" t="n">
        <v>160943</v>
      </c>
      <c r="D5" s="9" t="n">
        <v>198764</v>
      </c>
      <c r="E5" s="9" t="n">
        <v>245474</v>
      </c>
      <c r="F5" s="14" t="inlineStr">
        <is>
          <t>Residual Income = Net Income - Equity. It represents the profit the company makes
 after satisfying its investors' minimum requirements.</t>
        </is>
      </c>
      <c r="G5" s="13" t="n"/>
    </row>
    <row r="6" ht="36.6" customHeight="1">
      <c r="A6" t="inlineStr">
        <is>
          <t>Discount Factor</t>
        </is>
      </c>
      <c r="B6" t="n">
        <v>1</v>
      </c>
      <c r="C6" t="n">
        <v>0.908</v>
      </c>
      <c r="D6" t="n">
        <v>0.825</v>
      </c>
      <c r="E6" t="n">
        <v>0.749</v>
      </c>
      <c r="F6" s="9" t="n"/>
      <c r="G6" s="12" t="inlineStr">
        <is>
          <t>PV of Terminal Value: $4,185,123 * 0.749 = $3,134,657</t>
        </is>
      </c>
    </row>
    <row r="7" ht="36.6" customHeight="1">
      <c r="A7" t="inlineStr">
        <is>
          <t>PV of Residual Income</t>
        </is>
      </c>
      <c r="B7" t="inlineStr">
        <is>
          <t>-</t>
        </is>
      </c>
      <c r="C7" s="9" t="n">
        <v>146136</v>
      </c>
      <c r="D7" s="9" t="n">
        <v>163980</v>
      </c>
      <c r="E7" s="9" t="n">
        <v>183860</v>
      </c>
      <c r="F7"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4.4"/>
  <cols>
    <col width="36.109375" bestFit="1" customWidth="1" min="1" max="1"/>
    <col width="18.77734375" bestFit="1" customWidth="1" min="2" max="2"/>
  </cols>
  <sheetData>
    <row r="1">
      <c r="A1" s="4" t="inlineStr">
        <is>
          <t>Component</t>
        </is>
      </c>
      <c r="B1" s="4" t="inlineStr">
        <is>
          <t>Amount (in $000s)</t>
        </is>
      </c>
    </row>
    <row r="2">
      <c r="A2" t="inlineStr">
        <is>
          <t>Sum of PV of Residual Income (2025-2027)</t>
        </is>
      </c>
      <c r="B2" s="9" t="n">
        <v>493976</v>
      </c>
    </row>
    <row r="3">
      <c r="A3" t="inlineStr">
        <is>
          <t>PV of Terminal Value</t>
        </is>
      </c>
      <c r="B3" s="9" t="n">
        <v>3134657</v>
      </c>
    </row>
    <row r="4" ht="15" customHeight="1" thickBot="1">
      <c r="A4" s="16" t="inlineStr">
        <is>
          <t>Total Value of Equity Premiums</t>
        </is>
      </c>
      <c r="B4" s="17">
        <f>B2+B3</f>
        <v/>
      </c>
    </row>
    <row r="5" ht="15" customHeight="1" thickTop="1">
      <c r="A5" t="inlineStr">
        <is>
          <t>(+) Current Book Value (End of 2024)</t>
        </is>
      </c>
      <c r="B5" s="9" t="n">
        <v>1201063</v>
      </c>
    </row>
    <row r="6" ht="15" customHeight="1" thickBot="1">
      <c r="A6" s="16" t="inlineStr">
        <is>
          <t>Total Intrinsic Value</t>
        </is>
      </c>
      <c r="B6" s="17">
        <f>B2+B3+B5</f>
        <v/>
      </c>
    </row>
    <row r="7" ht="15" customHeight="1" thickTop="1">
      <c r="A7" t="inlineStr">
        <is>
          <t>Shares Outstanding</t>
        </is>
      </c>
      <c r="B7" s="9" t="n">
        <v>17366</v>
      </c>
    </row>
    <row r="8" ht="15" customHeight="1" thickBot="1">
      <c r="A8" s="16" t="inlineStr">
        <is>
          <t>Intrinsic Value Per Share</t>
        </is>
      </c>
      <c r="B8" s="44">
        <f>B6/B7</f>
        <v/>
      </c>
    </row>
    <row r="9" ht="15" customHeight="1" thickTop="1">
      <c r="B9" s="45" t="n"/>
    </row>
    <row r="10">
      <c r="B10" s="45" t="n"/>
    </row>
    <row r="12" ht="288" customHeight="1">
      <c r="A12" s="11" t="inlineStr">
        <is>
          <t># Conclusion: Based on the company's guidance of maintaining an ROE 
above 23% and significantly growing the loan book to over $7 Billion by
 2027, the stock is currently trading at a significant discount to its intrinsic
 value, provided they hit those growth targets without a spike in net charge-offs. The reason the model shows a high value ($278) compared to the current price ($175–$180) is simple: ROE vs. Cost of Equity. If a company can consistently earn 23.5% on its money while investors only "require" 10.1%, that company is a massive wealth-creation engine. The market price currently suggests that investors are skeptical that goeasy can maintain such a high ROE forever or are worried about potential loan losses if the economy weakens.</t>
        </is>
      </c>
    </row>
    <row r="14">
      <c r="A14" t="inlineStr">
        <is>
          <t>To get the final "Intrinsic Value," I added three things:</t>
        </is>
      </c>
    </row>
    <row r="15">
      <c r="A15" s="15" t="n"/>
    </row>
    <row r="16">
      <c r="A16" s="15" t="inlineStr">
        <is>
          <t>1. The current Book Value ($1.2B)</t>
        </is>
      </c>
    </row>
    <row r="17">
      <c r="A17" s="15" t="n"/>
    </row>
    <row r="18">
      <c r="A18" s="15" t="inlineStr">
        <is>
          <t>2. + The present value of the next 3 years of Excess Returns.</t>
        </is>
      </c>
    </row>
    <row r="19">
      <c r="A19" s="15" t="n"/>
    </row>
    <row r="20">
      <c r="A20" s="15" t="inlineStr">
        <is>
          <t>3. + The present value of the Terminal Value.</t>
        </is>
      </c>
    </row>
    <row r="22">
      <c r="A22" t="inlineStr">
        <is>
          <t>This gave us a total company value of roughly $4.83 Billion. When divided by the 17.37 Million shares, the result was $278.11 per share.</t>
        </is>
      </c>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49"/>
  <sheetViews>
    <sheetView topLeftCell="A36" workbookViewId="0">
      <selection activeCell="A52" sqref="A52"/>
    </sheetView>
  </sheetViews>
  <sheetFormatPr baseColWidth="8" defaultColWidth="26.44140625" defaultRowHeight="14.4"/>
  <cols>
    <col width="25.44140625" bestFit="1" customWidth="1" min="1" max="1"/>
    <col width="21.6640625" customWidth="1" min="2" max="2"/>
  </cols>
  <sheetData>
    <row r="1" ht="45" customHeight="1">
      <c r="A1" s="35" t="inlineStr">
        <is>
          <t>1. ROE Sensitivity (Impact on Intrinsic Value per Share)</t>
        </is>
      </c>
      <c r="B1" s="4" t="n"/>
      <c r="C1" s="4" t="n"/>
      <c r="D1" s="4" t="n"/>
    </row>
    <row r="3" ht="28.8" customHeight="1">
      <c r="A3" s="33" t="inlineStr">
        <is>
          <t>Assumes Cost of Equity = 10.1%, g = 4%</t>
        </is>
      </c>
    </row>
    <row r="4">
      <c r="A4" s="33" t="n"/>
    </row>
    <row r="5">
      <c r="A5" s="30" t="inlineStr">
        <is>
          <t>ROE</t>
        </is>
      </c>
      <c r="B5" s="30" t="inlineStr">
        <is>
          <t>Intrinsic Value/Share</t>
        </is>
      </c>
    </row>
    <row r="6">
      <c r="A6" s="31" t="n">
        <v>0.21</v>
      </c>
      <c r="B6" s="33" t="inlineStr">
        <is>
          <t>~$225</t>
        </is>
      </c>
    </row>
    <row r="7">
      <c r="A7" s="38" t="inlineStr">
        <is>
          <t>23% (Base Case)</t>
        </is>
      </c>
      <c r="B7" s="33" t="inlineStr">
        <is>
          <t>~$278</t>
        </is>
      </c>
    </row>
    <row r="8">
      <c r="A8" s="31" t="n">
        <v>0.25</v>
      </c>
      <c r="B8" s="33" t="inlineStr">
        <is>
          <t>~$315</t>
        </is>
      </c>
    </row>
    <row r="9">
      <c r="A9" s="31" t="n">
        <v>0.27</v>
      </c>
      <c r="B9" s="33" t="inlineStr">
        <is>
          <t>~$350</t>
        </is>
      </c>
    </row>
    <row r="12">
      <c r="A12" t="inlineStr">
        <is>
          <t>*GoEasy’s valuation is highly sensitive to ROE. A 2% drop in ROE reduces intrinsic value by ~20%, reflecting the importance of credit quality and loan growth.</t>
        </is>
      </c>
    </row>
    <row r="14" ht="45" customHeight="1">
      <c r="A14" s="35" t="inlineStr">
        <is>
          <t>2. Net Charge-Off (NCO) Sensitivity</t>
        </is>
      </c>
    </row>
    <row r="16" ht="43.2" customHeight="1">
      <c r="A16" s="33" t="inlineStr">
        <is>
          <t>Assumes Loan Book ≈ $5.5B in 2025, every 0.5% change in NCO affects net income.</t>
        </is>
      </c>
    </row>
    <row r="17">
      <c r="A17" s="33" t="n"/>
    </row>
    <row r="18" ht="28.8" customHeight="1">
      <c r="A18" s="30" t="inlineStr">
        <is>
          <t>NCO Rate</t>
        </is>
      </c>
      <c r="B18" s="30" t="inlineStr">
        <is>
          <t>Impact on Net Income</t>
        </is>
      </c>
      <c r="C18" s="30" t="inlineStr">
        <is>
          <t>Revised ROE</t>
        </is>
      </c>
      <c r="D18" s="30" t="inlineStr">
        <is>
          <t>Revised Value/Share</t>
        </is>
      </c>
    </row>
    <row r="19">
      <c r="A19" s="32" t="inlineStr">
        <is>
          <t>7.75% (Bull)</t>
        </is>
      </c>
      <c r="B19" s="33" t="inlineStr">
        <is>
          <t>+$20M</t>
        </is>
      </c>
      <c r="C19" s="33" t="inlineStr">
        <is>
          <t>~25%</t>
        </is>
      </c>
      <c r="D19" s="33" t="inlineStr">
        <is>
          <t>~$305</t>
        </is>
      </c>
    </row>
    <row r="20">
      <c r="A20" s="32" t="inlineStr">
        <is>
          <t>8.75% (Base)</t>
        </is>
      </c>
      <c r="B20" s="33" t="inlineStr">
        <is>
          <t>—</t>
        </is>
      </c>
      <c r="C20" s="33" t="inlineStr">
        <is>
          <t>~23.5%</t>
        </is>
      </c>
      <c r="D20" s="33" t="inlineStr">
        <is>
          <t>~$278</t>
        </is>
      </c>
    </row>
    <row r="21">
      <c r="A21" s="32" t="inlineStr">
        <is>
          <t>9.75% (Bear)</t>
        </is>
      </c>
      <c r="B21" s="33" t="inlineStr">
        <is>
          <t>–$30M</t>
        </is>
      </c>
      <c r="C21" s="33" t="inlineStr">
        <is>
          <t>~21%</t>
        </is>
      </c>
      <c r="D21" s="33" t="inlineStr">
        <is>
          <t>~$240</t>
        </is>
      </c>
    </row>
    <row r="23" ht="72" customHeight="1">
      <c r="A23" s="33" t="inlineStr">
        <is>
          <t>*A 1% increase in charge-offs can reduce valuation by $35–40 per share, showing how credit losses are the biggest risk factor.</t>
        </is>
      </c>
    </row>
    <row r="25" ht="45" customHeight="1">
      <c r="A25" s="35" t="inlineStr">
        <is>
          <t>3. Cost of Equity (Ke) Sensitivity</t>
        </is>
      </c>
    </row>
    <row r="27">
      <c r="A27" s="33" t="inlineStr">
        <is>
          <t>Assumes ROE = 23.5%, g = 4%</t>
        </is>
      </c>
    </row>
    <row r="28">
      <c r="A28" s="33" t="n"/>
    </row>
    <row r="29">
      <c r="A29" s="30" t="inlineStr">
        <is>
          <t>Cost of Equity (Ke)</t>
        </is>
      </c>
      <c r="B29" s="30" t="inlineStr">
        <is>
          <t>Intrinsic Value/Share</t>
        </is>
      </c>
    </row>
    <row r="30">
      <c r="A30" s="34" t="n">
        <v>0.09</v>
      </c>
      <c r="B30" s="37" t="inlineStr">
        <is>
          <t>~$330</t>
        </is>
      </c>
    </row>
    <row r="31">
      <c r="A31" s="36" t="inlineStr">
        <is>
          <t>10.1% (Base)</t>
        </is>
      </c>
      <c r="B31" s="37" t="inlineStr">
        <is>
          <t>~$278</t>
        </is>
      </c>
    </row>
    <row r="32">
      <c r="A32" s="34" t="n">
        <v>0.11</v>
      </c>
      <c r="B32" s="37" t="inlineStr">
        <is>
          <t>~$245</t>
        </is>
      </c>
    </row>
    <row r="33">
      <c r="A33" s="34" t="n">
        <v>0.12</v>
      </c>
      <c r="B33" s="37" t="inlineStr">
        <is>
          <t>~$215</t>
        </is>
      </c>
    </row>
    <row r="35">
      <c r="A35" t="inlineStr">
        <is>
          <t>*Higher interest rates or higher perceived risk materially reduce valuation. A 1% increase in Ke lowers intrinsic value by ~12%.</t>
        </is>
      </c>
    </row>
    <row r="37" ht="45" customHeight="1">
      <c r="A37" s="35" t="inlineStr">
        <is>
          <t>4. Terminal Growth Rate (g) Sensitivity</t>
        </is>
      </c>
    </row>
    <row r="39" ht="28.8" customHeight="1">
      <c r="A39" s="33" t="inlineStr">
        <is>
          <t>Assumes ROE = 23.5%, Ke = 10.1%</t>
        </is>
      </c>
    </row>
    <row r="40">
      <c r="A40" s="33" t="n"/>
    </row>
    <row r="41">
      <c r="A41" s="30" t="inlineStr">
        <is>
          <t>Growth Rate (g)</t>
        </is>
      </c>
      <c r="B41" s="38" t="inlineStr">
        <is>
          <t>Intrinsic Value/Share</t>
        </is>
      </c>
    </row>
    <row r="42">
      <c r="A42" s="34" t="n">
        <v>0.03</v>
      </c>
      <c r="B42" s="37" t="inlineStr">
        <is>
          <t>~$250</t>
        </is>
      </c>
    </row>
    <row r="43">
      <c r="A43" s="38" t="inlineStr">
        <is>
          <t>4.0% (Base)</t>
        </is>
      </c>
      <c r="B43" s="37" t="inlineStr">
        <is>
          <t>~$278</t>
        </is>
      </c>
    </row>
    <row r="44">
      <c r="A44" s="34" t="n">
        <v>0.05</v>
      </c>
      <c r="B44" s="37" t="inlineStr">
        <is>
          <t>~$310</t>
        </is>
      </c>
    </row>
    <row r="46">
      <c r="A46" t="inlineStr">
        <is>
          <t>*GoEasy’s long-term value is moderately sensitive to growth assumptions, but less so than ROE or NCOs.</t>
        </is>
      </c>
    </row>
    <row r="49">
      <c r="A49" t="inlineStr">
        <is>
          <t>#The valuation is most sensitive to ROE and credit losses, reflecting the nature of GoEasy’s lending business. Even small changes in NCOs or ROE materially impact intrinsic value, while growth assumptions have a more moderate effect. This highlights the importance of credit quality and disciplined underwriting in sustaining long-term shareholder value</t>
        </is>
      </c>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F19"/>
  <sheetViews>
    <sheetView workbookViewId="0">
      <selection activeCell="E25" sqref="E25"/>
    </sheetView>
  </sheetViews>
  <sheetFormatPr baseColWidth="8" defaultRowHeight="14.4"/>
  <cols>
    <col width="80.88671875" bestFit="1" customWidth="1" min="1" max="1"/>
    <col width="8" bestFit="1" customWidth="1" min="2" max="5"/>
  </cols>
  <sheetData>
    <row r="1">
      <c r="A1" s="4" t="inlineStr">
        <is>
          <t>(in $000s except per share amounts,
store counts, employee counts,
percentages and ratios)</t>
        </is>
      </c>
      <c r="B1" s="4" t="inlineStr">
        <is>
          <t>2024</t>
        </is>
      </c>
      <c r="C1" s="4" t="inlineStr">
        <is>
          <t>2023</t>
        </is>
      </c>
      <c r="D1" s="4" t="inlineStr">
        <is>
          <t>2022</t>
        </is>
      </c>
      <c r="E1" s="4" t="inlineStr">
        <is>
          <t>2021</t>
        </is>
      </c>
      <c r="F1" s="4" t="inlineStr">
        <is>
          <t>2020</t>
        </is>
      </c>
    </row>
    <row r="2" hidden="1">
      <c r="A2" t="inlineStr">
        <is>
          <t>INCOME STATEMENT</t>
        </is>
      </c>
    </row>
    <row r="3" hidden="1">
      <c r="A3" t="inlineStr">
        <is>
          <t>Revenue</t>
        </is>
      </c>
      <c r="B3" t="n">
        <v>1523289</v>
      </c>
      <c r="C3" t="n">
        <v>1250069</v>
      </c>
      <c r="D3" t="n">
        <v>1019336</v>
      </c>
      <c r="E3" t="n">
        <v>826722</v>
      </c>
      <c r="F3" t="inlineStr">
        <is>
          <t>652,922</t>
        </is>
      </c>
    </row>
    <row r="4" hidden="1">
      <c r="A4" t="inlineStr">
        <is>
          <t>Operating income</t>
        </is>
      </c>
      <c r="B4" t="n">
        <v>609657</v>
      </c>
      <c r="C4" t="n">
        <v>476518</v>
      </c>
      <c r="D4" t="n">
        <v>332407</v>
      </c>
      <c r="E4" t="n">
        <v>281003</v>
      </c>
      <c r="F4" t="inlineStr">
        <is>
          <t>216,436</t>
        </is>
      </c>
    </row>
    <row r="5">
      <c r="A5" t="inlineStr">
        <is>
          <t>Net income</t>
        </is>
      </c>
      <c r="B5" t="n">
        <v>283110</v>
      </c>
      <c r="C5" t="n">
        <v>247898</v>
      </c>
      <c r="D5" t="n">
        <v>140161</v>
      </c>
      <c r="E5" t="n">
        <v>244943</v>
      </c>
      <c r="F5" t="inlineStr">
        <is>
          <t>136,505</t>
        </is>
      </c>
    </row>
    <row r="6">
      <c r="A6" t="inlineStr">
        <is>
          <t>Diluted earnings per share</t>
        </is>
      </c>
      <c r="B6" t="n">
        <v>16.3</v>
      </c>
      <c r="C6" t="n">
        <v>14.48</v>
      </c>
      <c r="D6" t="n">
        <v>8.42</v>
      </c>
      <c r="E6" t="n">
        <v>14.62</v>
      </c>
      <c r="F6" t="inlineStr">
        <is>
          <t>8.76</t>
        </is>
      </c>
    </row>
    <row r="7" hidden="1">
      <c r="A7" t="inlineStr">
        <is>
          <t>BALANCE SHEET</t>
        </is>
      </c>
    </row>
    <row r="8" hidden="1">
      <c r="A8" t="inlineStr">
        <is>
          <t>Cash</t>
        </is>
      </c>
      <c r="B8" t="n">
        <v>251381</v>
      </c>
      <c r="C8" t="n">
        <v>144577</v>
      </c>
      <c r="D8" t="n">
        <v>62654</v>
      </c>
      <c r="E8" t="n">
        <v>102479</v>
      </c>
      <c r="F8" t="inlineStr">
        <is>
          <t>93,053</t>
        </is>
      </c>
    </row>
    <row r="9" hidden="1">
      <c r="A9" t="inlineStr">
        <is>
          <t>Gross consumer loans
receivable</t>
        </is>
      </c>
      <c r="B9" t="n">
        <v>4596115</v>
      </c>
      <c r="C9" t="n">
        <v>3645202</v>
      </c>
      <c r="D9" t="n">
        <v>2794694</v>
      </c>
      <c r="E9" t="n">
        <v>2030339</v>
      </c>
      <c r="F9" t="inlineStr">
        <is>
          <t>1,246,840</t>
        </is>
      </c>
    </row>
    <row r="10" hidden="1">
      <c r="A10" t="inlineStr">
        <is>
          <t>Lease assets</t>
        </is>
      </c>
      <c r="B10" t="n">
        <v>40973</v>
      </c>
      <c r="C10" t="n">
        <v>45187</v>
      </c>
      <c r="D10" t="n">
        <v>48437</v>
      </c>
      <c r="E10" t="n">
        <v>47182</v>
      </c>
      <c r="F10" t="inlineStr">
        <is>
          <t>49,384</t>
        </is>
      </c>
    </row>
    <row r="11" hidden="1">
      <c r="A11" t="inlineStr">
        <is>
          <t>Total assets</t>
        </is>
      </c>
      <c r="B11" t="n">
        <v>5194536</v>
      </c>
      <c r="C11" t="n">
        <v>4164167</v>
      </c>
      <c r="D11" t="n">
        <v>3302889</v>
      </c>
      <c r="E11" t="n">
        <v>2596153</v>
      </c>
      <c r="F11" t="inlineStr">
        <is>
          <t>1,501,916</t>
        </is>
      </c>
    </row>
    <row r="12" hidden="1">
      <c r="A12" t="inlineStr">
        <is>
          <t>External debt3</t>
        </is>
      </c>
      <c r="B12" t="n">
        <v>3629803</v>
      </c>
      <c r="C12" t="n">
        <v>2819665</v>
      </c>
      <c r="D12" t="n">
        <v>2229260</v>
      </c>
      <c r="E12" t="n">
        <v>1552679</v>
      </c>
      <c r="F12" t="inlineStr">
        <is>
          <t>887,749</t>
        </is>
      </c>
    </row>
    <row r="13">
      <c r="A13" t="inlineStr">
        <is>
          <t>Shareholders’ equity</t>
        </is>
      </c>
      <c r="B13" t="n">
        <v>1201063</v>
      </c>
      <c r="C13" t="n">
        <v>1054077</v>
      </c>
      <c r="D13" t="n">
        <v>869688</v>
      </c>
      <c r="E13" t="n">
        <v>789913</v>
      </c>
      <c r="F13" t="inlineStr">
        <is>
          <t>443,512</t>
        </is>
      </c>
    </row>
    <row r="14" hidden="1">
      <c r="A14" t="inlineStr">
        <is>
          <t>FINANCIAL METRICS</t>
        </is>
      </c>
    </row>
    <row r="15" hidden="1">
      <c r="A15" t="inlineStr">
        <is>
          <t>Revenue growth</t>
        </is>
      </c>
      <c r="B15" t="n">
        <v>0.219</v>
      </c>
      <c r="C15" t="n">
        <v>0.226</v>
      </c>
      <c r="D15" t="n">
        <v>0.233</v>
      </c>
      <c r="E15" t="n">
        <v>0.266</v>
      </c>
      <c r="F15" t="inlineStr">
        <is>
          <t>7.10%</t>
        </is>
      </c>
    </row>
    <row r="16" hidden="1">
      <c r="A16" t="inlineStr">
        <is>
          <t>Operating margin</t>
        </is>
      </c>
      <c r="B16" t="n">
        <v>0.4</v>
      </c>
      <c r="C16" t="n">
        <v>0.381</v>
      </c>
      <c r="D16" t="n">
        <v>0.326</v>
      </c>
      <c r="E16" t="n">
        <v>0.34</v>
      </c>
      <c r="F16" t="inlineStr">
        <is>
          <t>33.10%</t>
        </is>
      </c>
    </row>
    <row r="17" hidden="1">
      <c r="A17" t="inlineStr">
        <is>
          <t>Adjusted operating margin1</t>
        </is>
      </c>
      <c r="B17" t="n">
        <v>0.412</v>
      </c>
      <c r="C17" t="n">
        <v>0.393</v>
      </c>
      <c r="D17" t="n">
        <v>0.362</v>
      </c>
      <c r="E17" t="n">
        <v>0.383</v>
      </c>
      <c r="F17" t="inlineStr">
        <is>
          <t>33.10%</t>
        </is>
      </c>
    </row>
    <row r="18" hidden="1">
      <c r="A18" t="inlineStr">
        <is>
          <t>Efficiency ratio1,4</t>
        </is>
      </c>
      <c r="B18" t="n">
        <v>0.253</v>
      </c>
      <c r="C18" t="n">
        <v>0.302</v>
      </c>
      <c r="D18" t="n">
        <v>0.336</v>
      </c>
      <c r="E18" t="n">
        <v>0.372</v>
      </c>
      <c r="F18" t="inlineStr">
        <is>
          <t>-</t>
        </is>
      </c>
    </row>
    <row r="19" hidden="1">
      <c r="A19" t="inlineStr">
        <is>
          <t>Adjusted net income2</t>
        </is>
      </c>
      <c r="B19" t="n">
        <v>290142</v>
      </c>
      <c r="C19" t="n">
        <v>243175</v>
      </c>
      <c r="D19" t="n">
        <v>192261</v>
      </c>
      <c r="E19" t="n">
        <v>174759</v>
      </c>
      <c r="F19" t="inlineStr">
        <is>
          <t>117,646</t>
        </is>
      </c>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1"/>
  <sheetViews>
    <sheetView topLeftCell="K1" workbookViewId="0">
      <selection activeCell="V13" sqref="V13"/>
    </sheetView>
  </sheetViews>
  <sheetFormatPr baseColWidth="8" defaultRowHeight="14.4"/>
  <sheetData>
    <row r="1">
      <c r="A1" s="4" t="n"/>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4.4"/>
  <cols>
    <col width="54.88671875" bestFit="1" customWidth="1" min="1" max="1"/>
    <col width="20.21875" bestFit="1" customWidth="1" min="2" max="3"/>
  </cols>
  <sheetData>
    <row r="1">
      <c r="A1" s="4" t="inlineStr">
        <is>
          <t>($ IN 000’S, EXCEPT FOR RATIOS)</t>
        </is>
      </c>
      <c r="B1" s="4" t="inlineStr">
        <is>
          <t>DECEMBER 31, 2024</t>
        </is>
      </c>
      <c r="C1" s="4" t="inlineStr">
        <is>
          <t>DECEMBER 31, 2023</t>
        </is>
      </c>
    </row>
    <row r="2" hidden="1">
      <c r="A2" t="inlineStr">
        <is>
          <t>Consumer loans receivable, net</t>
        </is>
      </c>
      <c r="B2" t="n">
        <v>4366533</v>
      </c>
      <c r="C2" t="n">
        <v>3447588</v>
      </c>
    </row>
    <row r="3" hidden="1">
      <c r="A3" t="inlineStr">
        <is>
          <t>Cash</t>
        </is>
      </c>
      <c r="B3" t="n">
        <v>251381</v>
      </c>
      <c r="C3" t="n">
        <v>144577</v>
      </c>
    </row>
    <row r="4" hidden="1">
      <c r="A4" t="inlineStr">
        <is>
          <t>Accounts receivable</t>
        </is>
      </c>
      <c r="B4" t="n">
        <v>42438</v>
      </c>
      <c r="C4" t="n">
        <v>30762</v>
      </c>
    </row>
    <row r="5" hidden="1">
      <c r="A5" t="inlineStr">
        <is>
          <t>Prepaid expenses</t>
        </is>
      </c>
      <c r="B5" t="n">
        <v>9488</v>
      </c>
      <c r="C5" t="n">
        <v>9462</v>
      </c>
    </row>
    <row r="6" hidden="1">
      <c r="A6" t="inlineStr">
        <is>
          <t>Investments</t>
        </is>
      </c>
      <c r="B6" t="n">
        <v>41918</v>
      </c>
      <c r="C6" t="n">
        <v>61464</v>
      </c>
    </row>
    <row r="7" hidden="1">
      <c r="A7" t="inlineStr">
        <is>
          <t>Lease assets</t>
        </is>
      </c>
      <c r="B7" t="n">
        <v>40973</v>
      </c>
      <c r="C7" t="n">
        <v>45187</v>
      </c>
    </row>
    <row r="8" hidden="1">
      <c r="A8" t="inlineStr">
        <is>
          <t>Derivative financial assets</t>
        </is>
      </c>
      <c r="B8" t="n">
        <v>60675</v>
      </c>
      <c r="C8" t="n">
        <v>21904</v>
      </c>
    </row>
    <row r="9" hidden="1">
      <c r="A9" t="inlineStr">
        <is>
          <t>Property and equipment, net</t>
        </is>
      </c>
      <c r="B9" t="n">
        <v>35004</v>
      </c>
      <c r="C9" t="n">
        <v>35382</v>
      </c>
    </row>
    <row r="10" hidden="1">
      <c r="A10" t="inlineStr">
        <is>
          <t>Right-of-use assets, net</t>
        </is>
      </c>
      <c r="B10" t="n">
        <v>54224</v>
      </c>
      <c r="C10" t="n">
        <v>61987</v>
      </c>
    </row>
    <row r="11" hidden="1">
      <c r="A11" t="inlineStr">
        <is>
          <t>Intangible assets, net</t>
        </is>
      </c>
      <c r="B11" t="n">
        <v>110979</v>
      </c>
      <c r="C11" t="n">
        <v>124931</v>
      </c>
    </row>
    <row r="12" hidden="1">
      <c r="A12" t="inlineStr">
        <is>
          <t>Goodwill</t>
        </is>
      </c>
      <c r="B12" t="n">
        <v>180923</v>
      </c>
      <c r="C12" t="n">
        <v>180923</v>
      </c>
    </row>
    <row r="13" hidden="1">
      <c r="A13" t="inlineStr">
        <is>
          <t>Total assets</t>
        </is>
      </c>
      <c r="B13" t="n">
        <v>5194536</v>
      </c>
      <c r="C13" t="n">
        <v>4164167</v>
      </c>
    </row>
    <row r="14" hidden="1">
      <c r="A14" t="inlineStr">
        <is>
          <t>Notes payable</t>
        </is>
      </c>
      <c r="B14" t="n">
        <v>2413795</v>
      </c>
      <c r="C14" t="n">
        <v>1120826</v>
      </c>
    </row>
    <row r="15" hidden="1">
      <c r="A15" t="inlineStr">
        <is>
          <t>Revolving securitization warehouse facilities</t>
        </is>
      </c>
      <c r="B15" t="n">
        <v>1073876</v>
      </c>
      <c r="C15" t="n">
        <v>1364741</v>
      </c>
    </row>
    <row r="16" hidden="1">
      <c r="A16" t="inlineStr">
        <is>
          <t>Secured borrowings</t>
        </is>
      </c>
      <c r="B16" t="n">
        <v>120335</v>
      </c>
      <c r="C16" t="n">
        <v>143177</v>
      </c>
    </row>
    <row r="17" hidden="1">
      <c r="A17" t="inlineStr">
        <is>
          <t>Revolving credit facility</t>
        </is>
      </c>
      <c r="B17" t="n">
        <v>21797</v>
      </c>
      <c r="C17" t="n">
        <v>190921</v>
      </c>
    </row>
    <row r="18" hidden="1">
      <c r="A18" t="inlineStr">
        <is>
          <t>External debt</t>
        </is>
      </c>
      <c r="B18" t="n">
        <v>3629803</v>
      </c>
      <c r="C18" t="n">
        <v>2819665</v>
      </c>
    </row>
    <row r="19" hidden="1">
      <c r="A19" t="inlineStr">
        <is>
          <t>Accounts payable and other liabilities</t>
        </is>
      </c>
      <c r="B19" t="n">
        <v>156903</v>
      </c>
      <c r="C19" t="n">
        <v>72409</v>
      </c>
    </row>
    <row r="20" hidden="1">
      <c r="A20" t="inlineStr">
        <is>
          <t>Income taxes payable</t>
        </is>
      </c>
      <c r="B20" t="n">
        <v>24567</v>
      </c>
      <c r="C20" t="n">
        <v>24691</v>
      </c>
    </row>
    <row r="21" hidden="1">
      <c r="A21" t="inlineStr">
        <is>
          <t>Dividends payable</t>
        </is>
      </c>
      <c r="B21" t="n">
        <v>19519</v>
      </c>
      <c r="C21" t="n">
        <v>15960</v>
      </c>
    </row>
    <row r="22" hidden="1">
      <c r="A22" t="inlineStr">
        <is>
          <t>Unearned revenue</t>
        </is>
      </c>
      <c r="B22" t="n">
        <v>25864</v>
      </c>
      <c r="C22" t="n">
        <v>26965</v>
      </c>
    </row>
    <row r="23" hidden="1">
      <c r="A23" t="inlineStr">
        <is>
          <t>Accrued interest payable</t>
        </is>
      </c>
      <c r="B23" t="n">
        <v>49003</v>
      </c>
      <c r="C23" t="n">
        <v>12875</v>
      </c>
    </row>
    <row r="24" hidden="1">
      <c r="A24" t="inlineStr">
        <is>
          <t>Deferred income tax liabilities, net</t>
        </is>
      </c>
      <c r="B24" t="n">
        <v>4184</v>
      </c>
      <c r="C24" t="n">
        <v>24259</v>
      </c>
    </row>
    <row r="25" hidden="1">
      <c r="A25" t="inlineStr">
        <is>
          <t>Lease liabilities</t>
        </is>
      </c>
      <c r="B25" t="n">
        <v>62164</v>
      </c>
      <c r="C25" t="n">
        <v>70809</v>
      </c>
    </row>
    <row r="26" hidden="1">
      <c r="A26" t="inlineStr">
        <is>
          <t>Derivative financial liabilities</t>
        </is>
      </c>
      <c r="B26" t="n">
        <v>21466</v>
      </c>
      <c r="C26" t="n">
        <v>42457</v>
      </c>
    </row>
    <row r="27" hidden="1">
      <c r="A27" t="inlineStr">
        <is>
          <t>Total liabilities</t>
        </is>
      </c>
      <c r="B27" t="n">
        <v>3993473</v>
      </c>
      <c r="C27" t="n">
        <v>3110090</v>
      </c>
    </row>
    <row r="28">
      <c r="A28" s="4" t="inlineStr">
        <is>
          <t>Shareholders’ equity</t>
        </is>
      </c>
      <c r="B28" t="n">
        <v>1201063</v>
      </c>
      <c r="C28" t="n">
        <v>1054077</v>
      </c>
    </row>
    <row r="29" hidden="1">
      <c r="A29" t="inlineStr">
        <is>
          <t>Total capitalization (external debt plus total shareholders’ equity)</t>
        </is>
      </c>
      <c r="B29" t="n">
        <v>4830866</v>
      </c>
      <c r="C29" t="n">
        <v>3873742</v>
      </c>
    </row>
    <row r="30" hidden="1">
      <c r="A30" t="inlineStr">
        <is>
          <t>Capital management measures</t>
        </is>
      </c>
    </row>
    <row r="31" hidden="1">
      <c r="A31" t="inlineStr">
        <is>
          <t>External debt to shareholders’ equity^{1}</t>
        </is>
      </c>
      <c r="B31" t="n">
        <v>3.02</v>
      </c>
      <c r="C31" t="n">
        <v>2.68</v>
      </c>
    </row>
    <row r="32" hidden="1">
      <c r="A32" t="inlineStr">
        <is>
          <t>Net debt to net capitalization^{2}</t>
        </is>
      </c>
      <c r="B32" t="n">
        <v>0.74</v>
      </c>
      <c r="C32" t="n">
        <v>0.72</v>
      </c>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20"/>
  <sheetViews>
    <sheetView workbookViewId="0">
      <selection activeCell="D4" sqref="D4"/>
    </sheetView>
  </sheetViews>
  <sheetFormatPr baseColWidth="8" defaultRowHeight="14.4"/>
  <cols>
    <col width="56.77734375" bestFit="1" customWidth="1" min="1" max="1"/>
    <col width="10.5546875" bestFit="1" customWidth="1" min="2" max="5"/>
  </cols>
  <sheetData>
    <row r="1">
      <c r="A1" s="4" t="inlineStr">
        <is>
          <t>($ IN 000’S EXCEPT PERCENTAGES AND PER SHARE AMOUNTS)</t>
        </is>
      </c>
      <c r="B1" s="4" t="inlineStr">
        <is>
          <t>2024^{3}</t>
        </is>
      </c>
      <c r="C1" s="4" t="inlineStr">
        <is>
          <t>2023^{3}</t>
        </is>
      </c>
      <c r="D1" s="4" t="inlineStr">
        <is>
          <t>2022^{3}</t>
        </is>
      </c>
      <c r="E1" s="4" t="inlineStr">
        <is>
          <t>2021^{3}</t>
        </is>
      </c>
      <c r="F1" s="4" t="inlineStr">
        <is>
          <t>2020</t>
        </is>
      </c>
    </row>
    <row r="2" hidden="1">
      <c r="A2" t="inlineStr">
        <is>
          <t>Gross Consumer Loans Receivable</t>
        </is>
      </c>
      <c r="B2" t="n">
        <v>4596115</v>
      </c>
      <c r="C2" t="n">
        <v>3645202</v>
      </c>
      <c r="D2" t="n">
        <v>2794694</v>
      </c>
      <c r="E2" t="inlineStr">
        <is>
          <t>2,030,339</t>
        </is>
      </c>
      <c r="F2" t="inlineStr">
        <is>
          <t>1,246,840</t>
        </is>
      </c>
    </row>
    <row r="3" hidden="1">
      <c r="A3" t="inlineStr">
        <is>
          <t>Revenue</t>
        </is>
      </c>
      <c r="B3" t="n">
        <v>1523289</v>
      </c>
      <c r="C3" t="n">
        <v>1250069</v>
      </c>
      <c r="D3" t="n">
        <v>1019336</v>
      </c>
      <c r="E3" t="inlineStr">
        <is>
          <t>826,722</t>
        </is>
      </c>
      <c r="F3" t="inlineStr">
        <is>
          <t>652,922</t>
        </is>
      </c>
    </row>
    <row r="4">
      <c r="A4" s="4" t="inlineStr">
        <is>
          <t>Net income</t>
        </is>
      </c>
      <c r="B4" t="n">
        <v>283110</v>
      </c>
      <c r="C4" t="n">
        <v>247898</v>
      </c>
      <c r="D4" t="n">
        <v>140161</v>
      </c>
      <c r="E4" t="inlineStr">
        <is>
          <t>244,943</t>
        </is>
      </c>
      <c r="F4" t="inlineStr">
        <is>
          <t>136,505</t>
        </is>
      </c>
    </row>
    <row r="5" hidden="1">
      <c r="A5" t="inlineStr">
        <is>
          <t>Adjusted net income^{1}</t>
        </is>
      </c>
      <c r="B5" t="n">
        <v>290142</v>
      </c>
      <c r="C5" t="n">
        <v>243175</v>
      </c>
      <c r="D5" t="n">
        <v>192261</v>
      </c>
      <c r="E5" t="inlineStr">
        <is>
          <t>174,759</t>
        </is>
      </c>
      <c r="F5" t="inlineStr">
        <is>
          <t>117,646</t>
        </is>
      </c>
    </row>
    <row r="6" hidden="1">
      <c r="A6" t="inlineStr">
        <is>
          <t>Return on receivables^{2}</t>
        </is>
      </c>
      <c r="B6" t="n">
        <v>0.068</v>
      </c>
      <c r="C6" t="n">
        <v>0.076</v>
      </c>
      <c r="D6" t="n">
        <v>0.058</v>
      </c>
      <c r="E6" t="inlineStr">
        <is>
          <t>-</t>
        </is>
      </c>
      <c r="F6" t="inlineStr">
        <is>
          <t>-</t>
        </is>
      </c>
    </row>
    <row r="7" hidden="1">
      <c r="A7" t="inlineStr">
        <is>
          <t>Adjusted return on receivables^{1,2}</t>
        </is>
      </c>
      <c r="B7" t="n">
        <v>0.07000000000000001</v>
      </c>
      <c r="C7" t="n">
        <v>0.075</v>
      </c>
      <c r="D7" t="n">
        <v>0.08</v>
      </c>
      <c r="E7" t="inlineStr">
        <is>
          <t>-</t>
        </is>
      </c>
      <c r="F7" t="inlineStr">
        <is>
          <t>-</t>
        </is>
      </c>
    </row>
    <row r="8" hidden="1">
      <c r="A8" t="inlineStr">
        <is>
          <t>Return on assets</t>
        </is>
      </c>
      <c r="B8" t="n">
        <v>0.061</v>
      </c>
      <c r="C8" t="n">
        <v>0.067</v>
      </c>
      <c r="D8" t="n">
        <v>0.048</v>
      </c>
      <c r="E8" t="inlineStr">
        <is>
          <t>11.5%</t>
        </is>
      </c>
      <c r="F8" t="inlineStr">
        <is>
          <t>9.8%</t>
        </is>
      </c>
    </row>
    <row r="9" hidden="1">
      <c r="A9" t="inlineStr">
        <is>
          <t>Adjusted return on assets^{1}</t>
        </is>
      </c>
      <c r="B9" t="n">
        <v>0.062</v>
      </c>
      <c r="C9" t="n">
        <v>0.065</v>
      </c>
      <c r="D9" t="n">
        <v>0.066</v>
      </c>
      <c r="E9" t="inlineStr">
        <is>
          <t>8.2%</t>
        </is>
      </c>
      <c r="F9" t="inlineStr">
        <is>
          <t>8.5%</t>
        </is>
      </c>
    </row>
    <row r="10">
      <c r="A10" s="4" t="inlineStr">
        <is>
          <t>Return on equity</t>
        </is>
      </c>
      <c r="B10" t="n">
        <v>0.249</v>
      </c>
      <c r="C10" t="n">
        <v>0.259</v>
      </c>
      <c r="D10" t="n">
        <v>0.176</v>
      </c>
      <c r="E10" t="inlineStr">
        <is>
          <t>36.7%</t>
        </is>
      </c>
      <c r="F10" t="inlineStr">
        <is>
          <t>36.1%</t>
        </is>
      </c>
    </row>
    <row r="11" hidden="1">
      <c r="A11" t="inlineStr">
        <is>
          <t>Adjusted return on equity^{1}</t>
        </is>
      </c>
      <c r="B11" t="n">
        <v>0.255</v>
      </c>
      <c r="C11" t="n">
        <v>0.254</v>
      </c>
      <c r="D11" t="n">
        <v>0.242</v>
      </c>
      <c r="E11" t="inlineStr">
        <is>
          <t>26.2%</t>
        </is>
      </c>
      <c r="F11" t="inlineStr">
        <is>
          <t>31.1%</t>
        </is>
      </c>
    </row>
    <row r="12" hidden="1">
      <c r="A12" t="inlineStr">
        <is>
          <t>Return on tangible common equity^{1}</t>
        </is>
      </c>
      <c r="B12" t="n">
        <v>0.328</v>
      </c>
      <c r="C12" t="n">
        <v>0.367</v>
      </c>
      <c r="D12" t="n">
        <v>0.284</v>
      </c>
      <c r="E12" t="inlineStr">
        <is>
          <t>50.7%</t>
        </is>
      </c>
      <c r="F12" t="inlineStr">
        <is>
          <t>38.3%</t>
        </is>
      </c>
    </row>
    <row r="13" hidden="1">
      <c r="A13" t="inlineStr">
        <is>
          <t>Adjusted return on tangible common equity^{1}</t>
        </is>
      </c>
      <c r="B13" t="n">
        <v>0.325</v>
      </c>
      <c r="C13" t="n">
        <v>0.346</v>
      </c>
      <c r="D13" t="n">
        <v>0.364</v>
      </c>
      <c r="E13" t="inlineStr">
        <is>
          <t>35.3%</t>
        </is>
      </c>
      <c r="F13" t="inlineStr">
        <is>
          <t>33.0%</t>
        </is>
      </c>
    </row>
    <row r="14" hidden="1">
      <c r="A14" t="inlineStr">
        <is>
          <t>Net income as a percentage of revenue</t>
        </is>
      </c>
      <c r="B14" t="n">
        <v>0.186</v>
      </c>
      <c r="C14" t="n">
        <v>0.198</v>
      </c>
      <c r="D14" t="n">
        <v>0.138</v>
      </c>
      <c r="E14" t="inlineStr">
        <is>
          <t>29.6%</t>
        </is>
      </c>
      <c r="F14" t="inlineStr">
        <is>
          <t>20.9%</t>
        </is>
      </c>
    </row>
    <row r="15" hidden="1">
      <c r="A15" t="inlineStr">
        <is>
          <t>Adjusted net income as a percentage of revenue^{1}</t>
        </is>
      </c>
      <c r="B15" t="n">
        <v>0.19</v>
      </c>
      <c r="C15" t="n">
        <v>0.195</v>
      </c>
      <c r="D15" t="n">
        <v>0.189</v>
      </c>
      <c r="E15" t="inlineStr">
        <is>
          <t>21.1%</t>
        </is>
      </c>
      <c r="F15" t="inlineStr">
        <is>
          <t>18.0%</t>
        </is>
      </c>
    </row>
    <row r="16" hidden="1">
      <c r="A16" t="inlineStr">
        <is>
          <t>Dividends declared on Common Shares</t>
        </is>
      </c>
      <c r="B16" t="n">
        <v>78401</v>
      </c>
      <c r="C16" t="n">
        <v>63614</v>
      </c>
      <c r="D16" t="n">
        <v>58338</v>
      </c>
      <c r="E16" t="inlineStr">
        <is>
          <t>42,312</t>
        </is>
      </c>
      <c r="F16" t="inlineStr">
        <is>
          <t>26,103</t>
        </is>
      </c>
    </row>
    <row r="17" hidden="1">
      <c r="A17" t="inlineStr">
        <is>
          <t>Cash dividends declared per Common Share</t>
        </is>
      </c>
      <c r="B17" t="n">
        <v>4.68</v>
      </c>
      <c r="C17" t="n">
        <v>3.84</v>
      </c>
      <c r="D17" t="n">
        <v>3.64</v>
      </c>
      <c r="E17" t="inlineStr">
        <is>
          <t>2.64</t>
        </is>
      </c>
      <c r="F17" t="inlineStr">
        <is>
          <t>1.80</t>
        </is>
      </c>
    </row>
    <row r="18" hidden="1">
      <c r="A18" t="inlineStr">
        <is>
          <t>Basic</t>
        </is>
      </c>
      <c r="B18" t="n">
        <v>16.56</v>
      </c>
      <c r="C18" t="n">
        <v>14.7</v>
      </c>
      <c r="D18" t="n">
        <v>8.609999999999999</v>
      </c>
      <c r="E18" t="inlineStr">
        <is>
          <t>15.12</t>
        </is>
      </c>
      <c r="F18" t="inlineStr">
        <is>
          <t>9.21</t>
        </is>
      </c>
    </row>
    <row r="19">
      <c r="A19" s="4" t="inlineStr">
        <is>
          <t>Diluted Earnings per share</t>
        </is>
      </c>
      <c r="B19" t="n">
        <v>16.3</v>
      </c>
      <c r="C19" t="n">
        <v>14.48</v>
      </c>
      <c r="D19" t="n">
        <v>8.42</v>
      </c>
      <c r="E19" t="inlineStr">
        <is>
          <t>14.62</t>
        </is>
      </c>
      <c r="F19" t="inlineStr">
        <is>
          <t>8.76</t>
        </is>
      </c>
    </row>
    <row r="20" hidden="1">
      <c r="A20" t="inlineStr">
        <is>
          <t>Adjusted diluted^{1}</t>
        </is>
      </c>
      <c r="B20" t="n">
        <v>16.71</v>
      </c>
      <c r="C20" t="n">
        <v>14.21</v>
      </c>
      <c r="D20" t="n">
        <v>11.55</v>
      </c>
      <c r="E20" t="inlineStr">
        <is>
          <t>10.43</t>
        </is>
      </c>
      <c r="F20" t="inlineStr">
        <is>
          <t>7.57</t>
        </is>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E19"/>
  <sheetViews>
    <sheetView workbookViewId="0">
      <selection activeCell="A19" sqref="A19"/>
    </sheetView>
  </sheetViews>
  <sheetFormatPr baseColWidth="8" defaultRowHeight="14.4"/>
  <cols>
    <col width="39.109375" bestFit="1" customWidth="1" min="1" max="1"/>
    <col width="16.6640625" bestFit="1" customWidth="1" min="2" max="2"/>
    <col width="25.44140625" bestFit="1" customWidth="1" min="3" max="3"/>
    <col width="13.5546875" bestFit="1" customWidth="1" min="4" max="4"/>
    <col width="8.6640625" bestFit="1" customWidth="1" min="5" max="5"/>
  </cols>
  <sheetData>
    <row r="1">
      <c r="A1" s="4" t="inlineStr">
        <is>
          <t>($ IN 000'S EXCEPT EARNINGS PER SHARE)</t>
        </is>
      </c>
      <c r="B1" s="4" t="inlineStr">
        <is>
          <t>EASYFINANCIAL</t>
        </is>
      </c>
      <c r="C1" s="4" t="inlineStr">
        <is>
          <t>EASYHOME (Dec 31, 2023)</t>
        </is>
      </c>
      <c r="D1" s="4" t="inlineStr">
        <is>
          <t>CORPORATE</t>
        </is>
      </c>
      <c r="E1" s="4" t="inlineStr">
        <is>
          <t>TOTAL</t>
        </is>
      </c>
    </row>
    <row r="2">
      <c r="A2" t="inlineStr">
        <is>
          <t>Revenue</t>
        </is>
      </c>
    </row>
    <row r="3">
      <c r="A3" t="inlineStr">
        <is>
          <t>Interest income</t>
        </is>
      </c>
      <c r="B3" t="inlineStr">
        <is>
          <t>853,228</t>
        </is>
      </c>
      <c r="C3" t="n">
        <v>35700</v>
      </c>
      <c r="D3" t="inlineStr">
        <is>
          <t>-</t>
        </is>
      </c>
      <c r="E3" t="n">
        <v>888928</v>
      </c>
    </row>
    <row r="4">
      <c r="A4" t="inlineStr">
        <is>
          <t>Lease revenue</t>
        </is>
      </c>
      <c r="B4" t="inlineStr">
        <is>
          <t>-</t>
        </is>
      </c>
      <c r="C4" t="n">
        <v>99848</v>
      </c>
      <c r="D4" t="inlineStr">
        <is>
          <t>-</t>
        </is>
      </c>
      <c r="E4" t="n">
        <v>99848</v>
      </c>
    </row>
    <row r="5">
      <c r="A5" t="inlineStr">
        <is>
          <t>Commissions earned</t>
        </is>
      </c>
      <c r="B5" t="inlineStr">
        <is>
          <t>220,363</t>
        </is>
      </c>
      <c r="C5" t="n">
        <v>14122</v>
      </c>
      <c r="D5" t="inlineStr">
        <is>
          <t>-</t>
        </is>
      </c>
      <c r="E5" t="n">
        <v>234485</v>
      </c>
    </row>
    <row r="6">
      <c r="A6" t="inlineStr">
        <is>
          <t>Charges and fees</t>
        </is>
      </c>
      <c r="B6" t="inlineStr">
        <is>
          <t>23,226</t>
        </is>
      </c>
      <c r="C6" t="n">
        <v>3582</v>
      </c>
      <c r="D6" t="inlineStr">
        <is>
          <t>-</t>
        </is>
      </c>
      <c r="E6" t="n">
        <v>26808</v>
      </c>
    </row>
    <row r="7">
      <c r="A7" t="inlineStr">
        <is>
          <t>Total</t>
        </is>
      </c>
      <c r="B7" t="inlineStr">
        <is>
          <t>1,096,817</t>
        </is>
      </c>
      <c r="C7" t="n">
        <v>153252</v>
      </c>
      <c r="D7" t="inlineStr">
        <is>
          <t>-</t>
        </is>
      </c>
      <c r="E7" t="n">
        <v>1250069</v>
      </c>
    </row>
    <row r="8">
      <c r="A8" t="inlineStr">
        <is>
          <t>Operating expenses</t>
        </is>
      </c>
    </row>
    <row r="9">
      <c r="A9" t="inlineStr">
        <is>
          <t>Bad debts</t>
        </is>
      </c>
      <c r="B9" t="inlineStr">
        <is>
          <t>327,196</t>
        </is>
      </c>
      <c r="C9" t="n">
        <v>14443</v>
      </c>
      <c r="D9" t="inlineStr">
        <is>
          <t>-</t>
        </is>
      </c>
      <c r="E9" t="n">
        <v>341639</v>
      </c>
    </row>
    <row r="10">
      <c r="A10" t="inlineStr">
        <is>
          <t>Other operating expenses</t>
        </is>
      </c>
      <c r="B10" t="inlineStr">
        <is>
          <t>197,358</t>
        </is>
      </c>
      <c r="C10" t="n">
        <v>59610</v>
      </c>
      <c r="D10" t="inlineStr">
        <is>
          <t>88,613</t>
        </is>
      </c>
      <c r="E10" t="n">
        <v>345581</v>
      </c>
    </row>
    <row r="11">
      <c r="A11" t="inlineStr">
        <is>
          <t>Depreciation and amortization</t>
        </is>
      </c>
      <c r="B11" t="inlineStr">
        <is>
          <t>37,747</t>
        </is>
      </c>
      <c r="C11" t="n">
        <v>42259</v>
      </c>
      <c r="D11" t="inlineStr">
        <is>
          <t>6,325</t>
        </is>
      </c>
      <c r="E11" t="n">
        <v>86331</v>
      </c>
    </row>
    <row r="12">
      <c r="A12" t="inlineStr">
        <is>
          <t>Total</t>
        </is>
      </c>
      <c r="B12" t="inlineStr">
        <is>
          <t>562,301</t>
        </is>
      </c>
      <c r="C12" t="n">
        <v>116312</v>
      </c>
      <c r="D12" t="inlineStr">
        <is>
          <t>94,938</t>
        </is>
      </c>
      <c r="E12" t="n">
        <v>773551</v>
      </c>
    </row>
    <row r="13">
      <c r="A13" t="inlineStr">
        <is>
          <t>Operating income (loss)</t>
        </is>
      </c>
      <c r="B13" t="inlineStr">
        <is>
          <t>534,516</t>
        </is>
      </c>
      <c r="C13" t="n">
        <v>36940</v>
      </c>
      <c r="D13" t="inlineStr">
        <is>
          <t>(94,938)</t>
        </is>
      </c>
      <c r="E13" t="n">
        <v>476518</v>
      </c>
    </row>
    <row r="14">
      <c r="A14" t="inlineStr">
        <is>
          <t>Other income</t>
        </is>
      </c>
      <c r="E14" t="n">
        <v>9771</v>
      </c>
    </row>
    <row r="15">
      <c r="A15" t="inlineStr">
        <is>
          <t>Finance costs</t>
        </is>
      </c>
      <c r="E15" t="n">
        <v>-149334</v>
      </c>
    </row>
    <row r="16">
      <c r="A16" t="inlineStr">
        <is>
          <t>Income before income taxes</t>
        </is>
      </c>
      <c r="E16" t="n">
        <v>336955</v>
      </c>
    </row>
    <row r="17">
      <c r="A17" t="inlineStr">
        <is>
          <t>Income taxes</t>
        </is>
      </c>
      <c r="E17" t="n">
        <v>89057</v>
      </c>
    </row>
    <row r="18">
      <c r="A18" s="4" t="inlineStr">
        <is>
          <t>Net income</t>
        </is>
      </c>
      <c r="E18" t="n">
        <v>247898</v>
      </c>
    </row>
    <row r="19">
      <c r="A19" s="4" t="inlineStr">
        <is>
          <t>Diluted earnings per share</t>
        </is>
      </c>
      <c r="E19" t="n">
        <v>14.48</v>
      </c>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E19"/>
  <sheetViews>
    <sheetView workbookViewId="0">
      <selection activeCell="C20" sqref="C20"/>
    </sheetView>
  </sheetViews>
  <sheetFormatPr baseColWidth="8" defaultRowHeight="14.4"/>
  <cols>
    <col width="39.109375" bestFit="1" customWidth="1" min="1" max="1"/>
    <col width="16.6640625" bestFit="1" customWidth="1" min="2" max="2"/>
    <col width="25.44140625" bestFit="1" customWidth="1" min="3" max="3"/>
    <col width="13.5546875" bestFit="1" customWidth="1" min="4" max="4"/>
    <col width="8.6640625" bestFit="1" customWidth="1" min="5" max="5"/>
  </cols>
  <sheetData>
    <row r="1">
      <c r="A1" s="4" t="inlineStr">
        <is>
          <t>($ IN 000'S EXCEPT EARNINGS PER SHARE)</t>
        </is>
      </c>
      <c r="B1" s="4" t="inlineStr">
        <is>
          <t>EASYFINANCIAL</t>
        </is>
      </c>
      <c r="C1" s="4" t="inlineStr">
        <is>
          <t>EASYHOME (Dec 31, 2024)</t>
        </is>
      </c>
      <c r="D1" s="4" t="inlineStr">
        <is>
          <t>CORPORATE</t>
        </is>
      </c>
      <c r="E1" s="4" t="inlineStr">
        <is>
          <t>TOTAL</t>
        </is>
      </c>
    </row>
    <row r="2">
      <c r="A2" t="inlineStr">
        <is>
          <t>Revenue</t>
        </is>
      </c>
    </row>
    <row r="3">
      <c r="A3" t="inlineStr">
        <is>
          <t>Interest income</t>
        </is>
      </c>
      <c r="B3" t="inlineStr">
        <is>
          <t>1,081,843</t>
        </is>
      </c>
      <c r="C3" t="n">
        <v>39979</v>
      </c>
      <c r="D3" t="inlineStr">
        <is>
          <t>-</t>
        </is>
      </c>
      <c r="E3" t="n">
        <v>1121822</v>
      </c>
    </row>
    <row r="4">
      <c r="A4" t="inlineStr">
        <is>
          <t>Lease revenue</t>
        </is>
      </c>
      <c r="B4" t="inlineStr">
        <is>
          <t>-</t>
        </is>
      </c>
      <c r="C4" t="n">
        <v>95407</v>
      </c>
      <c r="D4" t="inlineStr">
        <is>
          <t>-</t>
        </is>
      </c>
      <c r="E4" t="n">
        <v>95407</v>
      </c>
    </row>
    <row r="5">
      <c r="A5" t="inlineStr">
        <is>
          <t>Commissions earned</t>
        </is>
      </c>
      <c r="B5" t="inlineStr">
        <is>
          <t>261,630</t>
        </is>
      </c>
      <c r="C5" t="n">
        <v>14096</v>
      </c>
      <c r="D5" t="inlineStr">
        <is>
          <t>-</t>
        </is>
      </c>
      <c r="E5" t="n">
        <v>275726</v>
      </c>
    </row>
    <row r="6">
      <c r="A6" t="inlineStr">
        <is>
          <t>Charges and fees</t>
        </is>
      </c>
      <c r="B6" t="inlineStr">
        <is>
          <t>26,941</t>
        </is>
      </c>
      <c r="C6" t="n">
        <v>3393</v>
      </c>
      <c r="D6" t="inlineStr">
        <is>
          <t>-</t>
        </is>
      </c>
      <c r="E6" t="n">
        <v>30334</v>
      </c>
    </row>
    <row r="7">
      <c r="A7" t="inlineStr">
        <is>
          <t>Total</t>
        </is>
      </c>
      <c r="B7" t="inlineStr">
        <is>
          <t>1,370,414</t>
        </is>
      </c>
      <c r="C7" t="n">
        <v>152875</v>
      </c>
      <c r="D7" t="inlineStr">
        <is>
          <t>-</t>
        </is>
      </c>
      <c r="E7" t="n">
        <v>1523289</v>
      </c>
    </row>
    <row r="8">
      <c r="A8" t="inlineStr">
        <is>
          <t>Operating expenses</t>
        </is>
      </c>
    </row>
    <row r="9">
      <c r="A9" t="inlineStr">
        <is>
          <t>Bad debts</t>
        </is>
      </c>
      <c r="B9" t="inlineStr">
        <is>
          <t>452,558</t>
        </is>
      </c>
      <c r="C9" t="n">
        <v>15206</v>
      </c>
      <c r="D9" t="inlineStr">
        <is>
          <t>-</t>
        </is>
      </c>
      <c r="E9" t="n">
        <v>467764</v>
      </c>
    </row>
    <row r="10">
      <c r="A10" t="inlineStr">
        <is>
          <t>Other operating expenses</t>
        </is>
      </c>
      <c r="B10" t="inlineStr">
        <is>
          <t>212,451</t>
        </is>
      </c>
      <c r="C10" t="n">
        <v>54987</v>
      </c>
      <c r="D10" t="inlineStr">
        <is>
          <t>94,535</t>
        </is>
      </c>
      <c r="E10" t="n">
        <v>361973</v>
      </c>
    </row>
    <row r="11">
      <c r="A11" t="inlineStr">
        <is>
          <t>Depreciation and amortization</t>
        </is>
      </c>
      <c r="B11" t="inlineStr">
        <is>
          <t>38,995</t>
        </is>
      </c>
      <c r="C11" t="n">
        <v>38096</v>
      </c>
      <c r="D11" t="inlineStr">
        <is>
          <t>6,804</t>
        </is>
      </c>
      <c r="E11" t="n">
        <v>83895</v>
      </c>
    </row>
    <row r="12">
      <c r="A12" t="inlineStr">
        <is>
          <t>Total</t>
        </is>
      </c>
      <c r="B12" t="inlineStr">
        <is>
          <t>704,004</t>
        </is>
      </c>
      <c r="C12" t="n">
        <v>108289</v>
      </c>
      <c r="D12" t="inlineStr">
        <is>
          <t>101,339</t>
        </is>
      </c>
      <c r="E12" t="n">
        <v>913632</v>
      </c>
    </row>
    <row r="13">
      <c r="A13" t="inlineStr">
        <is>
          <t>Operating income (loss)</t>
        </is>
      </c>
      <c r="B13" t="inlineStr">
        <is>
          <t>666,410</t>
        </is>
      </c>
      <c r="C13" t="n">
        <v>44586</v>
      </c>
      <c r="D13" t="inlineStr">
        <is>
          <t>(101,339)</t>
        </is>
      </c>
      <c r="E13" t="n">
        <v>609657</v>
      </c>
    </row>
    <row r="14">
      <c r="A14" t="inlineStr">
        <is>
          <t>Other income</t>
        </is>
      </c>
      <c r="E14" t="n">
        <v>3132</v>
      </c>
    </row>
    <row r="15">
      <c r="A15" t="inlineStr">
        <is>
          <t>Finance costs</t>
        </is>
      </c>
      <c r="E15" t="n">
        <v>-225492</v>
      </c>
    </row>
    <row r="16">
      <c r="A16" t="inlineStr">
        <is>
          <t>Income before income taxes</t>
        </is>
      </c>
      <c r="E16" t="n">
        <v>387297</v>
      </c>
    </row>
    <row r="17">
      <c r="A17" t="inlineStr">
        <is>
          <t>Income taxes</t>
        </is>
      </c>
      <c r="E17" t="n">
        <v>104187</v>
      </c>
    </row>
    <row r="18">
      <c r="A18" s="4" t="inlineStr">
        <is>
          <t>Net income</t>
        </is>
      </c>
      <c r="E18" t="n">
        <v>283110</v>
      </c>
    </row>
    <row r="19">
      <c r="A19" s="4" t="inlineStr">
        <is>
          <t>Diluted earnings per share</t>
        </is>
      </c>
      <c r="E19" t="n">
        <v>16.3</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E46"/>
  <sheetViews>
    <sheetView workbookViewId="0">
      <selection activeCell="G6" sqref="G6"/>
    </sheetView>
  </sheetViews>
  <sheetFormatPr baseColWidth="8" defaultRowHeight="14.4"/>
  <cols>
    <col width="76.109375" bestFit="1" customWidth="1" min="1" max="1"/>
    <col width="13.21875" bestFit="1" customWidth="1" min="2" max="3"/>
    <col width="10.77734375" bestFit="1" customWidth="1" min="4" max="5"/>
  </cols>
  <sheetData>
    <row r="1">
      <c r="A1" s="4" t="inlineStr">
        <is>
          <t>Column1</t>
        </is>
      </c>
      <c r="B1" s="4" t="inlineStr">
        <is>
          <t>YEAR</t>
        </is>
      </c>
      <c r="C1" s="4" t="inlineStr">
        <is>
          <t>ENDED</t>
        </is>
      </c>
      <c r="D1" s="4" t="inlineStr">
        <is>
          <t>Column4</t>
        </is>
      </c>
      <c r="E1" s="4" t="inlineStr">
        <is>
          <t>Column5</t>
        </is>
      </c>
    </row>
    <row r="2">
      <c r="A2" t="inlineStr">
        <is>
          <t>-</t>
        </is>
      </c>
      <c r="B2" t="inlineStr">
        <is>
          <t>DECEMBER 31,</t>
        </is>
      </c>
      <c r="C2" t="inlineStr">
        <is>
          <t>DECEMBER 31,</t>
        </is>
      </c>
      <c r="D2" t="inlineStr">
        <is>
          <t>VARIANCE</t>
        </is>
      </c>
      <c r="E2" t="inlineStr">
        <is>
          <t>VARIANCE</t>
        </is>
      </c>
    </row>
    <row r="3">
      <c r="A3" t="inlineStr">
        <is>
          <t>($ IN 000’S EXCEPT EARNINGS PER SHARE AND PERCENTAGES)</t>
        </is>
      </c>
      <c r="B3" t="inlineStr">
        <is>
          <t>2024</t>
        </is>
      </c>
      <c r="C3" t="inlineStr">
        <is>
          <t>2023</t>
        </is>
      </c>
      <c r="D3" t="inlineStr">
        <is>
          <t>$ / BPS</t>
        </is>
      </c>
      <c r="E3" t="inlineStr">
        <is>
          <t>% CHANGE</t>
        </is>
      </c>
    </row>
    <row r="4">
      <c r="A4" t="inlineStr">
        <is>
          <t>Summary Financial Results</t>
        </is>
      </c>
      <c r="B4" t="inlineStr">
        <is>
          <t>-</t>
        </is>
      </c>
      <c r="C4" t="inlineStr">
        <is>
          <t>-</t>
        </is>
      </c>
      <c r="D4" t="inlineStr">
        <is>
          <t>-</t>
        </is>
      </c>
      <c r="E4" t="inlineStr">
        <is>
          <t>-</t>
        </is>
      </c>
    </row>
    <row r="5">
      <c r="A5" t="inlineStr">
        <is>
          <t>Revenue</t>
        </is>
      </c>
      <c r="B5" t="inlineStr">
        <is>
          <t>1,523,289</t>
        </is>
      </c>
      <c r="C5" t="inlineStr">
        <is>
          <t>1,250,069</t>
        </is>
      </c>
      <c r="D5" t="inlineStr">
        <is>
          <t>273,220</t>
        </is>
      </c>
      <c r="E5" t="inlineStr">
        <is>
          <t>21.9%</t>
        </is>
      </c>
    </row>
    <row r="6">
      <c r="A6" t="inlineStr">
        <is>
          <t>Bad debts</t>
        </is>
      </c>
      <c r="B6" t="inlineStr">
        <is>
          <t>467,764</t>
        </is>
      </c>
      <c r="C6" t="inlineStr">
        <is>
          <t>341,639</t>
        </is>
      </c>
      <c r="D6" t="inlineStr">
        <is>
          <t>126,125</t>
        </is>
      </c>
      <c r="E6" t="inlineStr">
        <is>
          <t>36.9%</t>
        </is>
      </c>
    </row>
    <row r="7">
      <c r="A7" t="inlineStr">
        <is>
          <t>Other operating expenses</t>
        </is>
      </c>
      <c r="B7" t="inlineStr">
        <is>
          <t>361,973</t>
        </is>
      </c>
      <c r="C7" t="inlineStr">
        <is>
          <t>345,581</t>
        </is>
      </c>
      <c r="D7" t="inlineStr">
        <is>
          <t>16,392</t>
        </is>
      </c>
      <c r="E7" t="inlineStr">
        <is>
          <t>4.7%</t>
        </is>
      </c>
    </row>
    <row r="8">
      <c r="A8" t="inlineStr">
        <is>
          <t>EBITDA^{1}</t>
        </is>
      </c>
      <c r="B8" t="inlineStr">
        <is>
          <t>667,202</t>
        </is>
      </c>
      <c r="C8" t="inlineStr">
        <is>
          <t>539,085</t>
        </is>
      </c>
      <c r="D8" t="inlineStr">
        <is>
          <t>128,117</t>
        </is>
      </c>
      <c r="E8" t="inlineStr">
        <is>
          <t>23.8%</t>
        </is>
      </c>
    </row>
    <row r="9">
      <c r="A9" t="inlineStr">
        <is>
          <t>EBITDA margin^{1}</t>
        </is>
      </c>
      <c r="B9" t="inlineStr">
        <is>
          <t>43.8%</t>
        </is>
      </c>
      <c r="C9" t="inlineStr">
        <is>
          <t>43.1%</t>
        </is>
      </c>
      <c r="D9" t="inlineStr">
        <is>
          <t>70 bps</t>
        </is>
      </c>
      <c r="E9" t="inlineStr">
        <is>
          <t>1.6%</t>
        </is>
      </c>
    </row>
    <row r="10">
      <c r="A10" t="inlineStr">
        <is>
          <t>Depreciation and amortization</t>
        </is>
      </c>
      <c r="B10" t="inlineStr">
        <is>
          <t>83,895</t>
        </is>
      </c>
      <c r="C10" t="inlineStr">
        <is>
          <t>86,331</t>
        </is>
      </c>
      <c r="D10" t="inlineStr">
        <is>
          <t>(2,436)</t>
        </is>
      </c>
      <c r="E10" t="inlineStr">
        <is>
          <t>(2.8%)</t>
        </is>
      </c>
    </row>
    <row r="11">
      <c r="A11" t="inlineStr">
        <is>
          <t>Operating income</t>
        </is>
      </c>
      <c r="B11" t="inlineStr">
        <is>
          <t>609,657</t>
        </is>
      </c>
      <c r="C11" t="inlineStr">
        <is>
          <t>476,518</t>
        </is>
      </c>
      <c r="D11" t="inlineStr">
        <is>
          <t>133,139</t>
        </is>
      </c>
      <c r="E11" t="inlineStr">
        <is>
          <t>27.9%</t>
        </is>
      </c>
    </row>
    <row r="12">
      <c r="A12" t="inlineStr">
        <is>
          <t>Operating margin</t>
        </is>
      </c>
      <c r="B12" t="inlineStr">
        <is>
          <t>40.0%</t>
        </is>
      </c>
      <c r="C12" t="inlineStr">
        <is>
          <t>38.1%</t>
        </is>
      </c>
      <c r="D12" t="inlineStr">
        <is>
          <t>190 bps</t>
        </is>
      </c>
      <c r="E12" t="inlineStr">
        <is>
          <t>5.0%</t>
        </is>
      </c>
    </row>
    <row r="13">
      <c r="A13" t="inlineStr">
        <is>
          <t>Other income</t>
        </is>
      </c>
      <c r="B13" t="inlineStr">
        <is>
          <t>3,132</t>
        </is>
      </c>
      <c r="C13" t="inlineStr">
        <is>
          <t>9,771</t>
        </is>
      </c>
      <c r="D13" t="inlineStr">
        <is>
          <t>(6,639)</t>
        </is>
      </c>
      <c r="E13" t="inlineStr">
        <is>
          <t>(67.9%)</t>
        </is>
      </c>
    </row>
    <row r="14">
      <c r="A14" t="inlineStr">
        <is>
          <t>Finance costs</t>
        </is>
      </c>
      <c r="B14" t="inlineStr">
        <is>
          <t>225,492</t>
        </is>
      </c>
      <c r="C14" t="inlineStr">
        <is>
          <t>149,334</t>
        </is>
      </c>
      <c r="D14" t="inlineStr">
        <is>
          <t>76,158</t>
        </is>
      </c>
      <c r="E14" t="inlineStr">
        <is>
          <t>51.0%</t>
        </is>
      </c>
    </row>
    <row r="15">
      <c r="A15" t="inlineStr">
        <is>
          <t>Effective income tax rate</t>
        </is>
      </c>
      <c r="B15" t="inlineStr">
        <is>
          <t>26.9%</t>
        </is>
      </c>
      <c r="C15" t="inlineStr">
        <is>
          <t>26.4%</t>
        </is>
      </c>
      <c r="D15" t="inlineStr">
        <is>
          <t>50 bps</t>
        </is>
      </c>
      <c r="E15" t="inlineStr">
        <is>
          <t>1.9%</t>
        </is>
      </c>
    </row>
    <row r="16">
      <c r="A16" t="inlineStr">
        <is>
          <t>Net income</t>
        </is>
      </c>
      <c r="B16" t="inlineStr">
        <is>
          <t>283,110</t>
        </is>
      </c>
      <c r="C16" t="inlineStr">
        <is>
          <t>247,898</t>
        </is>
      </c>
      <c r="D16" t="inlineStr">
        <is>
          <t>35,212</t>
        </is>
      </c>
      <c r="E16" t="inlineStr">
        <is>
          <t>14.2%</t>
        </is>
      </c>
    </row>
    <row r="17">
      <c r="A17" t="inlineStr">
        <is>
          <t>Diluted earnings per share</t>
        </is>
      </c>
      <c r="B17" t="inlineStr">
        <is>
          <t>16.30</t>
        </is>
      </c>
      <c r="C17" t="inlineStr">
        <is>
          <t>14.48</t>
        </is>
      </c>
      <c r="D17" t="inlineStr">
        <is>
          <t>1.82</t>
        </is>
      </c>
      <c r="E17" t="inlineStr">
        <is>
          <t>12.6%</t>
        </is>
      </c>
    </row>
    <row r="18">
      <c r="A18" t="inlineStr">
        <is>
          <t>Return on receivables</t>
        </is>
      </c>
      <c r="B18" t="inlineStr">
        <is>
          <t>6.8%</t>
        </is>
      </c>
      <c r="C18" t="inlineStr">
        <is>
          <t>7.6%</t>
        </is>
      </c>
      <c r="D18" t="inlineStr">
        <is>
          <t>(80 bps)</t>
        </is>
      </c>
      <c r="E18" t="inlineStr">
        <is>
          <t>(10.5%)</t>
        </is>
      </c>
    </row>
    <row r="19">
      <c r="A19" t="inlineStr">
        <is>
          <t>Return on assets</t>
        </is>
      </c>
      <c r="B19" t="inlineStr">
        <is>
          <t>6.1%</t>
        </is>
      </c>
      <c r="C19" t="inlineStr">
        <is>
          <t>6.7%</t>
        </is>
      </c>
      <c r="D19" t="inlineStr">
        <is>
          <t>(60 bps)</t>
        </is>
      </c>
      <c r="E19" t="inlineStr">
        <is>
          <t>(9.0%)</t>
        </is>
      </c>
    </row>
    <row r="20">
      <c r="A20" t="inlineStr">
        <is>
          <t>Return on equity</t>
        </is>
      </c>
      <c r="B20" t="inlineStr">
        <is>
          <t>24.9%</t>
        </is>
      </c>
      <c r="C20" t="inlineStr">
        <is>
          <t>25.9%</t>
        </is>
      </c>
      <c r="D20" t="inlineStr">
        <is>
          <t>(100 bps)</t>
        </is>
      </c>
      <c r="E20" t="inlineStr">
        <is>
          <t>(3.9%)</t>
        </is>
      </c>
    </row>
    <row r="21">
      <c r="A21" t="inlineStr">
        <is>
          <t>Return on tangible common equity^{1}</t>
        </is>
      </c>
      <c r="B21" t="inlineStr">
        <is>
          <t>32.8%</t>
        </is>
      </c>
      <c r="C21" t="inlineStr">
        <is>
          <t>36.7%</t>
        </is>
      </c>
      <c r="D21" t="inlineStr">
        <is>
          <t>(390 bps)</t>
        </is>
      </c>
      <c r="E21" t="inlineStr">
        <is>
          <t>(10.6%)</t>
        </is>
      </c>
    </row>
    <row r="22">
      <c r="A22" t="inlineStr">
        <is>
          <t>Adjusted Financial Results^{1,2}</t>
        </is>
      </c>
      <c r="B22" t="inlineStr">
        <is>
          <t>-</t>
        </is>
      </c>
      <c r="C22" t="inlineStr">
        <is>
          <t>-</t>
        </is>
      </c>
      <c r="D22" t="inlineStr">
        <is>
          <t>-</t>
        </is>
      </c>
      <c r="E22" t="inlineStr">
        <is>
          <t>-</t>
        </is>
      </c>
    </row>
    <row r="23">
      <c r="A23" t="inlineStr">
        <is>
          <t>Other operating expenses</t>
        </is>
      </c>
      <c r="B23" t="inlineStr">
        <is>
          <t>386,017</t>
        </is>
      </c>
      <c r="C23" t="inlineStr">
        <is>
          <t>377,574</t>
        </is>
      </c>
      <c r="D23" t="inlineStr">
        <is>
          <t>8,443</t>
        </is>
      </c>
      <c r="E23" t="inlineStr">
        <is>
          <t>2.2%</t>
        </is>
      </c>
    </row>
    <row r="24">
      <c r="A24" t="inlineStr">
        <is>
          <t>Efficiency ratio</t>
        </is>
      </c>
      <c r="B24" t="inlineStr">
        <is>
          <t>25.3%</t>
        </is>
      </c>
      <c r="C24" t="inlineStr">
        <is>
          <t>30.2%</t>
        </is>
      </c>
      <c r="D24" t="inlineStr">
        <is>
          <t>(490 bps)</t>
        </is>
      </c>
      <c r="E24" t="inlineStr">
        <is>
          <t>(16.2%)</t>
        </is>
      </c>
    </row>
    <row r="25">
      <c r="A25" t="inlineStr">
        <is>
          <t>Operating income</t>
        </is>
      </c>
      <c r="B25" t="inlineStr">
        <is>
          <t>628,195</t>
        </is>
      </c>
      <c r="C25" t="inlineStr">
        <is>
          <t>491,160</t>
        </is>
      </c>
      <c r="D25" t="inlineStr">
        <is>
          <t>137,035</t>
        </is>
      </c>
      <c r="E25" t="inlineStr">
        <is>
          <t>27.9%</t>
        </is>
      </c>
    </row>
    <row r="26">
      <c r="A26" t="inlineStr">
        <is>
          <t>Operating margin</t>
        </is>
      </c>
      <c r="B26" t="inlineStr">
        <is>
          <t>41.2%</t>
        </is>
      </c>
      <c r="C26" t="inlineStr">
        <is>
          <t>39.3%</t>
        </is>
      </c>
      <c r="D26" t="inlineStr">
        <is>
          <t>190 bps</t>
        </is>
      </c>
      <c r="E26" t="inlineStr">
        <is>
          <t>4.8%</t>
        </is>
      </c>
    </row>
    <row r="27">
      <c r="A27" t="inlineStr">
        <is>
          <t>Net income</t>
        </is>
      </c>
      <c r="B27" t="inlineStr">
        <is>
          <t>290,142</t>
        </is>
      </c>
      <c r="C27" t="inlineStr">
        <is>
          <t>243,175</t>
        </is>
      </c>
      <c r="D27" t="inlineStr">
        <is>
          <t>46,967</t>
        </is>
      </c>
      <c r="E27" t="inlineStr">
        <is>
          <t>19.3%</t>
        </is>
      </c>
    </row>
    <row r="28">
      <c r="A28" t="inlineStr">
        <is>
          <t>Diluted earnings per share</t>
        </is>
      </c>
      <c r="B28" t="inlineStr">
        <is>
          <t>16.71</t>
        </is>
      </c>
      <c r="C28" t="inlineStr">
        <is>
          <t>14.21</t>
        </is>
      </c>
      <c r="D28" t="inlineStr">
        <is>
          <t>2.50</t>
        </is>
      </c>
      <c r="E28" t="inlineStr">
        <is>
          <t>17.6%</t>
        </is>
      </c>
    </row>
    <row r="29">
      <c r="A29" t="inlineStr">
        <is>
          <t>Return on receivables</t>
        </is>
      </c>
      <c r="B29" t="inlineStr">
        <is>
          <t>7.0%</t>
        </is>
      </c>
      <c r="C29" t="inlineStr">
        <is>
          <t>7.5%</t>
        </is>
      </c>
      <c r="D29" t="inlineStr">
        <is>
          <t>(50 bps)</t>
        </is>
      </c>
      <c r="E29" t="inlineStr">
        <is>
          <t>(6.7%)</t>
        </is>
      </c>
    </row>
    <row r="30">
      <c r="A30" t="inlineStr">
        <is>
          <t>Return on assets</t>
        </is>
      </c>
      <c r="B30" t="inlineStr">
        <is>
          <t>6.2%</t>
        </is>
      </c>
      <c r="C30" t="inlineStr">
        <is>
          <t>6.5%</t>
        </is>
      </c>
      <c r="D30" t="inlineStr">
        <is>
          <t>(30 bps)</t>
        </is>
      </c>
      <c r="E30" t="inlineStr">
        <is>
          <t>(4.6%)</t>
        </is>
      </c>
    </row>
    <row r="31">
      <c r="A31" t="inlineStr">
        <is>
          <t>Return on equity</t>
        </is>
      </c>
      <c r="B31" t="inlineStr">
        <is>
          <t>25.5%</t>
        </is>
      </c>
      <c r="C31" t="inlineStr">
        <is>
          <t>25.4%</t>
        </is>
      </c>
      <c r="D31" t="inlineStr">
        <is>
          <t>10 bps</t>
        </is>
      </c>
      <c r="E31" t="inlineStr">
        <is>
          <t>0.4%</t>
        </is>
      </c>
    </row>
    <row r="32">
      <c r="A32" t="inlineStr">
        <is>
          <t>Return on tangible common equity</t>
        </is>
      </c>
      <c r="B32" t="inlineStr">
        <is>
          <t>32.5%</t>
        </is>
      </c>
      <c r="C32" t="inlineStr">
        <is>
          <t>34.6%</t>
        </is>
      </c>
      <c r="D32" t="inlineStr">
        <is>
          <t>(210 bps)</t>
        </is>
      </c>
      <c r="E32" t="inlineStr">
        <is>
          <t>(6.1%)</t>
        </is>
      </c>
    </row>
    <row r="33">
      <c r="A33" t="inlineStr">
        <is>
          <t>Key Performance Indicators</t>
        </is>
      </c>
      <c r="B33" t="inlineStr">
        <is>
          <t>-</t>
        </is>
      </c>
      <c r="C33" t="inlineStr">
        <is>
          <t>-</t>
        </is>
      </c>
      <c r="D33" t="inlineStr">
        <is>
          <t>-</t>
        </is>
      </c>
      <c r="E33" t="inlineStr">
        <is>
          <t>-</t>
        </is>
      </c>
    </row>
    <row r="34">
      <c r="A34" t="inlineStr">
        <is>
          <t>Segment Financials</t>
        </is>
      </c>
      <c r="B34" t="inlineStr">
        <is>
          <t>-</t>
        </is>
      </c>
      <c r="C34" t="inlineStr">
        <is>
          <t>-</t>
        </is>
      </c>
      <c r="D34" t="inlineStr">
        <is>
          <t>-</t>
        </is>
      </c>
      <c r="E34" t="inlineStr">
        <is>
          <t>-</t>
        </is>
      </c>
    </row>
    <row r="35">
      <c r="A35" t="inlineStr">
        <is>
          <t>easyfinancial revenue</t>
        </is>
      </c>
      <c r="B35" t="inlineStr">
        <is>
          <t>1,370,414</t>
        </is>
      </c>
      <c r="C35" t="inlineStr">
        <is>
          <t>1,096,817</t>
        </is>
      </c>
      <c r="D35" t="inlineStr">
        <is>
          <t>273,597</t>
        </is>
      </c>
      <c r="E35" t="inlineStr">
        <is>
          <t>24.9%</t>
        </is>
      </c>
    </row>
    <row r="36">
      <c r="A36" t="inlineStr">
        <is>
          <t>easyfinancial operating margin</t>
        </is>
      </c>
      <c r="B36" t="inlineStr">
        <is>
          <t>48.6%</t>
        </is>
      </c>
      <c r="C36" t="inlineStr">
        <is>
          <t>48.7%</t>
        </is>
      </c>
      <c r="D36" t="inlineStr">
        <is>
          <t>(10 bps)</t>
        </is>
      </c>
      <c r="E36" t="inlineStr">
        <is>
          <t>(0.2%)</t>
        </is>
      </c>
    </row>
    <row r="37">
      <c r="A37" t="inlineStr">
        <is>
          <t>easyhome revenue</t>
        </is>
      </c>
      <c r="B37" t="inlineStr">
        <is>
          <t>152,875</t>
        </is>
      </c>
      <c r="C37" t="inlineStr">
        <is>
          <t>153,252</t>
        </is>
      </c>
      <c r="D37" t="inlineStr">
        <is>
          <t>(377)</t>
        </is>
      </c>
      <c r="E37" t="inlineStr">
        <is>
          <t>(0.2%)</t>
        </is>
      </c>
    </row>
    <row r="38">
      <c r="A38" t="inlineStr">
        <is>
          <t>easyhome operating margin</t>
        </is>
      </c>
      <c r="B38" t="inlineStr">
        <is>
          <t>29.2%</t>
        </is>
      </c>
      <c r="C38" t="inlineStr">
        <is>
          <t>24.1%</t>
        </is>
      </c>
      <c r="D38" t="inlineStr">
        <is>
          <t>510 bps</t>
        </is>
      </c>
      <c r="E38" t="inlineStr">
        <is>
          <t>21.2%</t>
        </is>
      </c>
    </row>
    <row r="39">
      <c r="A39" t="inlineStr">
        <is>
          <t>Portfolio Indicators</t>
        </is>
      </c>
      <c r="B39" t="inlineStr">
        <is>
          <t>-</t>
        </is>
      </c>
      <c r="C39" t="inlineStr">
        <is>
          <t>-</t>
        </is>
      </c>
      <c r="D39" t="inlineStr">
        <is>
          <t>-</t>
        </is>
      </c>
      <c r="E39" t="inlineStr">
        <is>
          <t>-</t>
        </is>
      </c>
    </row>
    <row r="40">
      <c r="A40" t="inlineStr">
        <is>
          <t>Gross consumer loans receivable</t>
        </is>
      </c>
      <c r="B40" t="inlineStr">
        <is>
          <t>4,596,115</t>
        </is>
      </c>
      <c r="C40" t="inlineStr">
        <is>
          <t>3,645,202</t>
        </is>
      </c>
      <c r="D40" t="inlineStr">
        <is>
          <t>950,913</t>
        </is>
      </c>
      <c r="E40" t="inlineStr">
        <is>
          <t>26.1%</t>
        </is>
      </c>
    </row>
    <row r="41">
      <c r="A41" t="inlineStr">
        <is>
          <t>Growth in consumer loans receivable</t>
        </is>
      </c>
      <c r="B41" t="inlineStr">
        <is>
          <t>950,913</t>
        </is>
      </c>
      <c r="C41" t="inlineStr">
        <is>
          <t>850,508</t>
        </is>
      </c>
      <c r="D41" t="inlineStr">
        <is>
          <t>100,405</t>
        </is>
      </c>
      <c r="E41" t="inlineStr">
        <is>
          <t>11.8%</t>
        </is>
      </c>
    </row>
    <row r="42">
      <c r="A42" t="inlineStr">
        <is>
          <t>Gross loan originations</t>
        </is>
      </c>
      <c r="B42" t="inlineStr">
        <is>
          <t>3,166,227</t>
        </is>
      </c>
      <c r="C42" t="inlineStr">
        <is>
          <t>2,709,194</t>
        </is>
      </c>
      <c r="D42" t="inlineStr">
        <is>
          <t>457,033</t>
        </is>
      </c>
      <c r="E42" t="inlineStr">
        <is>
          <t>16.9%</t>
        </is>
      </c>
    </row>
    <row r="43">
      <c r="A43" t="inlineStr">
        <is>
          <t>Total yield on consumer loans (including ancillary products)^{1}</t>
        </is>
      </c>
      <c r="B43" t="inlineStr">
        <is>
          <t>34.1%</t>
        </is>
      </c>
      <c r="C43" t="inlineStr">
        <is>
          <t>35.3%</t>
        </is>
      </c>
      <c r="D43" t="inlineStr">
        <is>
          <t>(120 bps)</t>
        </is>
      </c>
      <c r="E43" t="inlineStr">
        <is>
          <t>(3.4%)</t>
        </is>
      </c>
    </row>
    <row r="44">
      <c r="A44" t="inlineStr">
        <is>
          <t>Net charge offs as a percentage of average gross consumer loans receivable</t>
        </is>
      </c>
      <c r="B44" t="inlineStr">
        <is>
          <t>9.2%</t>
        </is>
      </c>
      <c r="C44" t="inlineStr">
        <is>
          <t>8.9%</t>
        </is>
      </c>
      <c r="D44" t="inlineStr">
        <is>
          <t>30 bps</t>
        </is>
      </c>
      <c r="E44" t="inlineStr">
        <is>
          <t>3.4%</t>
        </is>
      </c>
    </row>
    <row r="45">
      <c r="A45" t="inlineStr">
        <is>
          <t>Free cash flows from operations before net growth in gross consumer loans receivable^{1}</t>
        </is>
      </c>
      <c r="B45" t="inlineStr">
        <is>
          <t>481,467</t>
        </is>
      </c>
      <c r="C45" t="inlineStr">
        <is>
          <t>377,291</t>
        </is>
      </c>
      <c r="D45" t="inlineStr">
        <is>
          <t>104,176</t>
        </is>
      </c>
      <c r="E45" t="inlineStr">
        <is>
          <t>27.6%</t>
        </is>
      </c>
    </row>
    <row r="46">
      <c r="A46" t="inlineStr">
        <is>
          <t>Potential monthly leasing revenue^{1}</t>
        </is>
      </c>
      <c r="B46" t="inlineStr">
        <is>
          <t>6,875</t>
        </is>
      </c>
      <c r="C46" t="inlineStr">
        <is>
          <t>7,654</t>
        </is>
      </c>
      <c r="D46" t="inlineStr">
        <is>
          <t>(779)</t>
        </is>
      </c>
      <c r="E46" t="inlineStr">
        <is>
          <t>(10.2%)</t>
        </is>
      </c>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4.4"/>
  <cols>
    <col width="64.5546875" bestFit="1" customWidth="1" min="1" max="1"/>
    <col width="26.88671875" bestFit="1" customWidth="1" min="2" max="2"/>
    <col width="30.6640625" bestFit="1" customWidth="1" min="3" max="3"/>
    <col width="21" bestFit="1" customWidth="1" min="4" max="4"/>
  </cols>
  <sheetData>
    <row r="1">
      <c r="A1" s="4" t="inlineStr">
        <is>
          <t>Column1</t>
        </is>
      </c>
      <c r="B1" s="4" t="inlineStr">
        <is>
          <t>ACTUAL RESULTS
FOR 2024</t>
        </is>
      </c>
      <c r="C1" s="4" t="inlineStr">
        <is>
          <t>UPDATED FORECASTS
FOR 2024</t>
        </is>
      </c>
      <c r="D1" s="4" t="inlineStr">
        <is>
          <t>OUTCOME</t>
        </is>
      </c>
    </row>
    <row r="2">
      <c r="A2" t="inlineStr">
        <is>
          <t>Gross consumer loans receivable at year-end</t>
        </is>
      </c>
      <c r="B2" t="inlineStr">
        <is>
          <t>$4.60 billion</t>
        </is>
      </c>
      <c r="C2" t="inlineStr">
        <is>
          <t>$4.55 - $4.65 billion</t>
        </is>
      </c>
      <c r="D2" t="inlineStr">
        <is>
          <t>Consistent with forecast</t>
        </is>
      </c>
    </row>
    <row r="3">
      <c r="A3" t="inlineStr">
        <is>
          <t>Total Company revenue</t>
        </is>
      </c>
      <c r="B3" t="inlineStr">
        <is>
          <t>$1.52 billion</t>
        </is>
      </c>
      <c r="C3" t="inlineStr">
        <is>
          <t>$1.50 - $1.60 billion</t>
        </is>
      </c>
      <c r="D3" t="inlineStr">
        <is>
          <t>Consistent with forecast</t>
        </is>
      </c>
    </row>
    <row r="4">
      <c r="A4" t="inlineStr">
        <is>
          <t>Total yield on consumer loans (including ancillary products)^{1}</t>
        </is>
      </c>
      <c r="B4" t="inlineStr">
        <is>
          <t>34.1 %</t>
        </is>
      </c>
      <c r="C4" t="inlineStr">
        <is>
          <t>33.0% - 35.0%</t>
        </is>
      </c>
      <c r="D4" t="inlineStr">
        <is>
          <t>Consistent with forecast</t>
        </is>
      </c>
    </row>
    <row r="5">
      <c r="A5" t="inlineStr">
        <is>
          <t>Net charge offs as a percentage of average
gross consumer loans receivable</t>
        </is>
      </c>
      <c r="B5" t="inlineStr">
        <is>
          <t>9.2%</t>
        </is>
      </c>
      <c r="C5" t="inlineStr">
        <is>
          <t>8.0% - 10.0%</t>
        </is>
      </c>
      <c r="D5" t="inlineStr">
        <is>
          <t>Consistent with forecast</t>
        </is>
      </c>
    </row>
    <row r="6">
      <c r="A6" t="inlineStr">
        <is>
          <t>Total Company operating margin (reported/adjusted^{1,2} )</t>
        </is>
      </c>
      <c r="B6" t="inlineStr">
        <is>
          <t>40.0%/41.2%</t>
        </is>
      </c>
      <c r="C6" t="inlineStr">
        <is>
          <t>39% +</t>
        </is>
      </c>
      <c r="D6" t="inlineStr">
        <is>
          <t>Consistent with forecast</t>
        </is>
      </c>
    </row>
    <row r="7">
      <c r="A7" t="inlineStr">
        <is>
          <t>Return on equity (reported/adjusted^{1,2} )</t>
        </is>
      </c>
      <c r="B7" t="inlineStr">
        <is>
          <t>24.9%/25.5%</t>
        </is>
      </c>
      <c r="C7" t="inlineStr">
        <is>
          <t>21% +</t>
        </is>
      </c>
      <c r="D7" t="inlineStr">
        <is>
          <t>Consistent with forecast</t>
        </is>
      </c>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21" sqref="A21"/>
    </sheetView>
  </sheetViews>
  <sheetFormatPr baseColWidth="8" defaultRowHeight="14.4"/>
  <cols>
    <col width="64.5546875" bestFit="1" customWidth="1" min="1" max="1"/>
    <col width="21.88671875" bestFit="1" customWidth="1" min="2" max="4"/>
  </cols>
  <sheetData>
    <row r="1">
      <c r="A1" s="4" t="inlineStr">
        <is>
          <t>Column1</t>
        </is>
      </c>
      <c r="B1" s="4" t="inlineStr">
        <is>
          <t>FORECASTS
FOR 2025</t>
        </is>
      </c>
      <c r="C1" s="4" t="inlineStr">
        <is>
          <t>FORECASTS
FOR 2026</t>
        </is>
      </c>
      <c r="D1" s="4" t="inlineStr">
        <is>
          <t>FORECASTS
FOR 2027</t>
        </is>
      </c>
    </row>
    <row r="2">
      <c r="A2" t="inlineStr">
        <is>
          <t>Gross consumer loans receivable at year end</t>
        </is>
      </c>
      <c r="B2" t="inlineStr">
        <is>
          <t>$5.40 - $5.70 Billion</t>
        </is>
      </c>
      <c r="C2" t="inlineStr">
        <is>
          <t>$6.40 - $6.70 Billion</t>
        </is>
      </c>
      <c r="D2" t="inlineStr">
        <is>
          <t>$7.35 - $7.75 Billion</t>
        </is>
      </c>
    </row>
    <row r="3">
      <c r="A3" t="inlineStr">
        <is>
          <t>Total Company revenue</t>
        </is>
      </c>
      <c r="B3" t="inlineStr">
        <is>
          <t>$1.62 - $1.82 Billion</t>
        </is>
      </c>
      <c r="C3" t="inlineStr">
        <is>
          <t>$1.80 - $2.00 Billion</t>
        </is>
      </c>
      <c r="D3" t="inlineStr">
        <is>
          <t>$2.00 - $2.20 Billion</t>
        </is>
      </c>
    </row>
    <row r="4">
      <c r="A4" t="inlineStr">
        <is>
          <t>Total yield on consumer loans (including ancillary
products)^{1}</t>
        </is>
      </c>
      <c r="B4" t="inlineStr">
        <is>
          <t>31.0% - 32.5%</t>
        </is>
      </c>
      <c r="C4" t="inlineStr">
        <is>
          <t>29.0% - 31.0%</t>
        </is>
      </c>
      <c r="D4" t="inlineStr">
        <is>
          <t>29.0% - 31.0%</t>
        </is>
      </c>
    </row>
    <row r="5">
      <c r="A5" t="inlineStr">
        <is>
          <t>Net charge offs as a percentage of average gross
consumer loans receivable</t>
        </is>
      </c>
      <c r="B5" t="inlineStr">
        <is>
          <t>7.75% - 9.75%</t>
        </is>
      </c>
      <c r="C5" t="inlineStr">
        <is>
          <t>7.5% - 9.5%</t>
        </is>
      </c>
      <c r="D5" t="inlineStr">
        <is>
          <t>7.5% - 9.5%</t>
        </is>
      </c>
    </row>
    <row r="6">
      <c r="A6" t="inlineStr">
        <is>
          <t>Total Company operating margin</t>
        </is>
      </c>
      <c r="B6" t="inlineStr">
        <is>
          <t>41% +</t>
        </is>
      </c>
      <c r="C6" t="inlineStr">
        <is>
          <t>42.5% +</t>
        </is>
      </c>
      <c r="D6" t="inlineStr">
        <is>
          <t>43% +</t>
        </is>
      </c>
    </row>
    <row r="7">
      <c r="A7" s="4" t="inlineStr">
        <is>
          <t>Return on equity</t>
        </is>
      </c>
      <c r="B7" t="inlineStr">
        <is>
          <t>23% +</t>
        </is>
      </c>
      <c r="C7" t="inlineStr">
        <is>
          <t>23% +</t>
        </is>
      </c>
      <c r="D7" t="inlineStr">
        <is>
          <t>23% +</t>
        </is>
      </c>
    </row>
    <row r="21">
      <c r="A21" t="inlineStr">
        <is>
          <t xml:space="preserve"> </t>
        </is>
      </c>
      <c r="B21" t="inlineStr">
        <is>
          <t xml:space="preserve">                            N </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E8" sqref="E8"/>
    </sheetView>
  </sheetViews>
  <sheetFormatPr baseColWidth="8" defaultRowHeight="14.4"/>
  <cols>
    <col width="51.88671875" bestFit="1" customWidth="1" min="1" max="1"/>
    <col width="20.21875" bestFit="1" customWidth="1" min="2" max="3"/>
  </cols>
  <sheetData>
    <row r="1">
      <c r="A1" s="4" t="inlineStr">
        <is>
          <t>($ IN 000’S)</t>
        </is>
      </c>
      <c r="B1" s="4" t="inlineStr">
        <is>
          <t>DECEMBER 31, 2024</t>
        </is>
      </c>
      <c r="C1" s="4" t="inlineStr">
        <is>
          <t>DECEMBER 31, 2023</t>
        </is>
      </c>
    </row>
    <row r="2">
      <c r="A2" t="inlineStr">
        <is>
          <t>Provision required due to net charge offs</t>
        </is>
      </c>
      <c r="B2" t="n">
        <v>383494</v>
      </c>
      <c r="C2" t="n">
        <v>289321</v>
      </c>
    </row>
    <row r="3">
      <c r="A3" t="inlineStr">
        <is>
          <t>Impact of loan book growth</t>
        </is>
      </c>
      <c r="B3" t="n">
        <v>60808</v>
      </c>
      <c r="C3" t="n">
        <v>57466</v>
      </c>
    </row>
    <row r="4">
      <c r="A4" t="inlineStr">
        <is>
          <t>Impact of change in allowance for expected credit losses rate</t>
        </is>
      </c>
      <c r="B4" t="n">
        <v>23462</v>
      </c>
      <c r="C4" t="n">
        <v>-5148</v>
      </c>
    </row>
    <row r="5">
      <c r="A5" t="inlineStr">
        <is>
          <t>Net change in allowance for credit losses</t>
        </is>
      </c>
      <c r="B5" t="n">
        <v>84270</v>
      </c>
      <c r="C5" t="n">
        <v>52318</v>
      </c>
    </row>
    <row r="6">
      <c r="A6" t="inlineStr">
        <is>
          <t>Bad debt expense</t>
        </is>
      </c>
      <c r="B6" t="n">
        <v>467764</v>
      </c>
      <c r="C6" t="n">
        <v>341639</v>
      </c>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4" t="inlineStr">
        <is>
          <t>Check</t>
        </is>
      </c>
      <c r="B1" s="4" t="inlineStr">
        <is>
          <t>Formula</t>
        </is>
      </c>
      <c r="C1" s="4" t="inlineStr">
        <is>
          <t>Status</t>
        </is>
      </c>
    </row>
    <row r="2">
      <c r="A2" t="inlineStr">
        <is>
          <t>Balance Sheet Balances</t>
        </is>
      </c>
      <c r="B2" t="inlineStr">
        <is>
          <t>Assets = Liabilities + Equity (manual review)</t>
        </is>
      </c>
      <c r="C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2025-12-14T23:54:20Z</dcterms:created>
  <dcterms:modified xmlns:dcterms="http://purl.org/dc/terms/" xmlns:xsi="http://www.w3.org/2001/XMLSchema-instance" xsi:type="dcterms:W3CDTF">2025-12-30T18:07:38Z</dcterms:modified>
  <cp:lastModifiedBy>Aiswariya Babu</cp:lastModifiedBy>
</cp:coreProperties>
</file>